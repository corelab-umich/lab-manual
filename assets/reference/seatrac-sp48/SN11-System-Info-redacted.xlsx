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atrac.sharepoint.com/Shared Documents/Customers/SN11 NCSU/"/>
    </mc:Choice>
  </mc:AlternateContent>
  <xr:revisionPtr revIDLastSave="423" documentId="8_{30769EEF-E587-4FCA-BD12-62086666091F}" xr6:coauthVersionLast="47" xr6:coauthVersionMax="47" xr10:uidLastSave="{D3EC886A-5C0E-4FD0-B8FC-13C7AA809424}"/>
  <bookViews>
    <workbookView xWindow="45945" yWindow="-45" windowWidth="9075" windowHeight="15480" xr2:uid="{D7860088-9E72-436E-8E77-421F8C9C4630}"/>
  </bookViews>
  <sheets>
    <sheet name="System Info" sheetId="8" r:id="rId1"/>
    <sheet name="Power Summary" sheetId="3" r:id="rId2"/>
    <sheet name="Main Enclosure" sheetId="4" r:id="rId3"/>
    <sheet name="Expansion Board" sheetId="5" r:id="rId4"/>
    <sheet name="Wire Data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4" l="1"/>
  <c r="M9" i="4"/>
  <c r="M8" i="4"/>
  <c r="M7" i="4"/>
  <c r="M11" i="4"/>
  <c r="M13" i="4"/>
  <c r="H13" i="4"/>
  <c r="H11" i="4"/>
  <c r="H9" i="4"/>
  <c r="H8" i="4"/>
  <c r="H7" i="4"/>
  <c r="H3" i="4"/>
  <c r="G13" i="4"/>
  <c r="K13" i="4"/>
  <c r="L13" i="4" s="1"/>
  <c r="N13" i="4" s="1"/>
  <c r="O13" i="4" s="1"/>
  <c r="K9" i="4"/>
  <c r="G9" i="4"/>
  <c r="L9" i="4" l="1"/>
  <c r="N9" i="4" s="1"/>
  <c r="O9" i="4" s="1"/>
  <c r="E20" i="3" l="1"/>
  <c r="D20" i="3"/>
  <c r="K3" i="4" l="1"/>
  <c r="G3" i="4"/>
  <c r="D6" i="5"/>
  <c r="D5" i="5"/>
  <c r="D10" i="5" s="1"/>
  <c r="D4" i="5"/>
  <c r="D3" i="5"/>
  <c r="D8" i="5" s="1"/>
  <c r="K11" i="4"/>
  <c r="K8" i="4"/>
  <c r="K7" i="4"/>
  <c r="D12" i="5"/>
  <c r="D11" i="5"/>
  <c r="E14" i="4"/>
  <c r="D14" i="4"/>
  <c r="G11" i="4"/>
  <c r="E10" i="4"/>
  <c r="D10" i="4"/>
  <c r="G8" i="4"/>
  <c r="G7" i="4"/>
  <c r="E6" i="4"/>
  <c r="D6" i="4"/>
  <c r="D11" i="3"/>
  <c r="D21" i="3" s="1"/>
  <c r="E10" i="3"/>
  <c r="E9" i="3"/>
  <c r="E8" i="3"/>
  <c r="E7" i="3"/>
  <c r="E3" i="3"/>
  <c r="D15" i="4" l="1"/>
  <c r="E15" i="4"/>
  <c r="D9" i="5"/>
  <c r="L3" i="4"/>
  <c r="E11" i="3"/>
  <c r="E21" i="3" s="1"/>
  <c r="L7" i="4"/>
  <c r="L8" i="4"/>
  <c r="L11" i="4"/>
  <c r="N11" i="4" l="1"/>
  <c r="O11" i="4" s="1"/>
  <c r="N7" i="4"/>
  <c r="O7" i="4" s="1"/>
  <c r="N8" i="4"/>
  <c r="O8" i="4" s="1"/>
  <c r="N3" i="4"/>
  <c r="O3" i="4" s="1"/>
  <c r="N6" i="4"/>
  <c r="O6" i="4" s="1"/>
  <c r="N14" i="4"/>
  <c r="O14" i="4" s="1"/>
  <c r="N10" i="4" l="1"/>
  <c r="O1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JHLAPTOP</author>
  </authors>
  <commentList>
    <comment ref="B23" authorId="0" shapeId="0" xr:uid="{159A3660-C034-43BB-9BFB-561F77C2A1C9}">
      <text>
        <r>
          <rPr>
            <b/>
            <sz val="9"/>
            <color indexed="81"/>
            <rFont val="Tahoma"/>
            <family val="2"/>
          </rPr>
          <t>JHLAPTOP:</t>
        </r>
        <r>
          <rPr>
            <sz val="9"/>
            <color indexed="81"/>
            <rFont val="Tahoma"/>
            <family val="2"/>
          </rPr>
          <t xml:space="preserve">
Specific to each peplink</t>
        </r>
      </text>
    </comment>
  </commentList>
</comments>
</file>

<file path=xl/sharedStrings.xml><?xml version="1.0" encoding="utf-8"?>
<sst xmlns="http://schemas.openxmlformats.org/spreadsheetml/2006/main" count="201" uniqueCount="147">
  <si>
    <t>[Restricted]</t>
  </si>
  <si>
    <t>User Name</t>
  </si>
  <si>
    <t>DHCP</t>
  </si>
  <si>
    <t>LAN</t>
  </si>
  <si>
    <t>SSID</t>
  </si>
  <si>
    <t>Password</t>
  </si>
  <si>
    <t>[Restricted]</t>
  </si>
  <si>
    <t>[Restricted]</t>
  </si>
  <si>
    <t>[Restricted]</t>
  </si>
  <si>
    <t>Customer</t>
  </si>
  <si>
    <t>[Restricted]</t>
  </si>
  <si>
    <t>[Restricted]</t>
  </si>
  <si>
    <t>WiFi PW</t>
  </si>
  <si>
    <t>WiFi Security</t>
  </si>
  <si>
    <t>WPA/WPA2 Personal</t>
  </si>
  <si>
    <t>WiFi Type</t>
  </si>
  <si>
    <t>TKIP / AES: CCMP</t>
  </si>
  <si>
    <t>[Restricted]</t>
  </si>
  <si>
    <t>[Restricted]</t>
  </si>
  <si>
    <t>Power</t>
  </si>
  <si>
    <t>RF Modules:</t>
  </si>
  <si>
    <t>Boat DL</t>
  </si>
  <si>
    <t>IMEI</t>
  </si>
  <si>
    <t>SIM</t>
  </si>
  <si>
    <t>MSISDN Data</t>
  </si>
  <si>
    <t>Dest Port</t>
  </si>
  <si>
    <t>Iridium SBD:</t>
  </si>
  <si>
    <t>Iridium RUDICS:</t>
  </si>
  <si>
    <t>Internal Cell Module:</t>
  </si>
  <si>
    <t>Cell Router: Pepwave MAX BR1 Pro</t>
  </si>
  <si>
    <t>Computer: OnLogic XXXX</t>
  </si>
  <si>
    <t>Camera: Axis F44A</t>
  </si>
  <si>
    <t>License</t>
  </si>
  <si>
    <t>Hull Serial Number</t>
  </si>
  <si>
    <t>Computer Name</t>
  </si>
  <si>
    <t>Base Power</t>
  </si>
  <si>
    <t>W Typ</t>
  </si>
  <si>
    <t>W Busy</t>
  </si>
  <si>
    <t>Base System (Motors Off)</t>
  </si>
  <si>
    <t>Internal Cell Modem</t>
  </si>
  <si>
    <t>Internal Iridium Modem</t>
  </si>
  <si>
    <t>Internal AIS</t>
  </si>
  <si>
    <t>GPS</t>
  </si>
  <si>
    <t>Wind</t>
  </si>
  <si>
    <t>Waterspeed</t>
  </si>
  <si>
    <t>Motors: Drift</t>
  </si>
  <si>
    <t>Total Base</t>
  </si>
  <si>
    <t>Payload Items</t>
  </si>
  <si>
    <t>V</t>
  </si>
  <si>
    <t>Supply</t>
  </si>
  <si>
    <t>Cell Router</t>
  </si>
  <si>
    <t>12-28</t>
  </si>
  <si>
    <t>Camera System</t>
  </si>
  <si>
    <t>8-28</t>
  </si>
  <si>
    <t>Computer</t>
  </si>
  <si>
    <t>12</t>
  </si>
  <si>
    <t>Total Payload</t>
  </si>
  <si>
    <t>Total</t>
  </si>
  <si>
    <t>Power  Distribution Board</t>
  </si>
  <si>
    <t>Cable</t>
  </si>
  <si>
    <t>A Typ</t>
  </si>
  <si>
    <t>AWG</t>
  </si>
  <si>
    <t>L</t>
  </si>
  <si>
    <t>R</t>
  </si>
  <si>
    <t>Output</t>
  </si>
  <si>
    <t>Description</t>
  </si>
  <si>
    <t>ft - 1 way</t>
  </si>
  <si>
    <t>Ohm/kft</t>
  </si>
  <si>
    <t>W</t>
  </si>
  <si>
    <t>%</t>
  </si>
  <si>
    <t>12V #1</t>
  </si>
  <si>
    <t>4 x 18AWG Tensility</t>
  </si>
  <si>
    <t>12V #2</t>
  </si>
  <si>
    <t>12V #3</t>
  </si>
  <si>
    <t>Total 12V</t>
  </si>
  <si>
    <t>24V #1</t>
  </si>
  <si>
    <t>24V #2</t>
  </si>
  <si>
    <t>24V #3</t>
  </si>
  <si>
    <t>Total 24V</t>
  </si>
  <si>
    <t>VBat #1</t>
  </si>
  <si>
    <t>Module1: Computer</t>
  </si>
  <si>
    <t>VBat #2</t>
  </si>
  <si>
    <t>VBat #3</t>
  </si>
  <si>
    <t>Total VBat</t>
  </si>
  <si>
    <t>Sensor Connections</t>
  </si>
  <si>
    <t>Power Regulators</t>
  </si>
  <si>
    <t>Sensor Power</t>
  </si>
  <si>
    <t>VIn</t>
  </si>
  <si>
    <t>Power In</t>
  </si>
  <si>
    <t>V1</t>
  </si>
  <si>
    <t>V2</t>
  </si>
  <si>
    <t>V3</t>
  </si>
  <si>
    <t>V4</t>
  </si>
  <si>
    <t>Power Out</t>
  </si>
  <si>
    <t>Load</t>
  </si>
  <si>
    <t>VOut</t>
  </si>
  <si>
    <t>Sensor</t>
  </si>
  <si>
    <t>Jumper</t>
  </si>
  <si>
    <t>Out 1</t>
  </si>
  <si>
    <t>12V</t>
  </si>
  <si>
    <t>SENS 1</t>
  </si>
  <si>
    <t>Out 2</t>
  </si>
  <si>
    <t>SENS 2</t>
  </si>
  <si>
    <t>Out 3</t>
  </si>
  <si>
    <t>SENS 3</t>
  </si>
  <si>
    <t>SENS 4</t>
  </si>
  <si>
    <t>SENS 5</t>
  </si>
  <si>
    <t>mm^2</t>
  </si>
  <si>
    <t>R/Kft</t>
  </si>
  <si>
    <t>0000</t>
  </si>
  <si>
    <t>000</t>
  </si>
  <si>
    <t>00</t>
  </si>
  <si>
    <t>0</t>
  </si>
  <si>
    <t>Serial Number Info:</t>
  </si>
  <si>
    <t>Axis Site:</t>
  </si>
  <si>
    <t>Notes</t>
  </si>
  <si>
    <t>SIM#1</t>
  </si>
  <si>
    <t>SIM#2</t>
  </si>
  <si>
    <t>2 x 18AWG Tensility</t>
  </si>
  <si>
    <t>Workhorse ADCP</t>
  </si>
  <si>
    <t>SkyLink 6100</t>
  </si>
  <si>
    <t>V200 GPS Antenna</t>
  </si>
  <si>
    <t>20-50</t>
  </si>
  <si>
    <t>10-34</t>
  </si>
  <si>
    <t>6-36</t>
  </si>
  <si>
    <t>ADCP</t>
  </si>
  <si>
    <t>SkyLink</t>
  </si>
  <si>
    <t>A Max</t>
  </si>
  <si>
    <t>Loss Typ</t>
  </si>
  <si>
    <t>Loss Max</t>
  </si>
  <si>
    <t>Iridium Certus:</t>
  </si>
  <si>
    <t>SN11</t>
  </si>
  <si>
    <t>1011</t>
  </si>
  <si>
    <t>[Restricted]</t>
  </si>
  <si>
    <t>[Restricted]</t>
  </si>
  <si>
    <t>[Restricted]</t>
  </si>
  <si>
    <t>[Restricted]</t>
  </si>
  <si>
    <t>[Restricted]</t>
  </si>
  <si>
    <t>[Restricted]</t>
  </si>
  <si>
    <t>[Restricted]</t>
  </si>
  <si>
    <t>[Restricted]</t>
  </si>
  <si>
    <t>[Restricted]</t>
  </si>
  <si>
    <t>Other Items</t>
  </si>
  <si>
    <t>Module2: 24V</t>
  </si>
  <si>
    <t>SN</t>
  </si>
  <si>
    <t>[Restricted]</t>
  </si>
  <si>
    <t>[Restricted]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</si>
</sst>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"/>
    <numFmt numFmtId="167" formatCode="#,##0.000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6" fillId="0" borderId="0"/>
    <xf numFmtId="0" fontId="18" fillId="0" borderId="0"/>
  </cellStyleXfs>
  <cellXfs count="173">
    <xf numFmtId="0" fontId="0" fillId="0" borderId="0" xfId="0"/>
    <xf numFmtId="0" fontId="19" fillId="2" borderId="3" xfId="1" applyFont="1" applyFill="1" applyBorder="1"/>
    <xf numFmtId="0" fontId="16" fillId="2" borderId="2" xfId="1" applyFill="1" applyBorder="1"/>
    <xf numFmtId="0" fontId="19" fillId="2" borderId="3" xfId="1" applyFont="1" applyFill="1" applyBorder="1" applyAlignment="1">
      <alignment horizontal="centerContinuous"/>
    </xf>
    <xf numFmtId="49" fontId="19" fillId="2" borderId="7" xfId="1" applyNumberFormat="1" applyFont="1" applyFill="1" applyBorder="1" applyAlignment="1">
      <alignment horizontal="centerContinuous"/>
    </xf>
    <xf numFmtId="0" fontId="16" fillId="0" borderId="0" xfId="1"/>
    <xf numFmtId="0" fontId="16" fillId="2" borderId="7" xfId="1" applyFill="1" applyBorder="1"/>
    <xf numFmtId="0" fontId="19" fillId="2" borderId="1" xfId="1" applyFont="1" applyFill="1" applyBorder="1" applyAlignment="1">
      <alignment horizontal="center"/>
    </xf>
    <xf numFmtId="49" fontId="19" fillId="2" borderId="1" xfId="1" applyNumberFormat="1" applyFont="1" applyFill="1" applyBorder="1" applyAlignment="1">
      <alignment horizontal="center"/>
    </xf>
    <xf numFmtId="0" fontId="0" fillId="0" borderId="8" xfId="1" applyFont="1" applyBorder="1" applyAlignment="1">
      <alignment horizontal="left" indent="1"/>
    </xf>
    <xf numFmtId="0" fontId="16" fillId="0" borderId="9" xfId="1" applyBorder="1"/>
    <xf numFmtId="164" fontId="16" fillId="0" borderId="4" xfId="1" applyNumberFormat="1" applyBorder="1"/>
    <xf numFmtId="164" fontId="0" fillId="0" borderId="4" xfId="1" applyNumberFormat="1" applyFont="1" applyBorder="1"/>
    <xf numFmtId="0" fontId="16" fillId="0" borderId="8" xfId="1" applyBorder="1" applyAlignment="1">
      <alignment horizontal="left" indent="1"/>
    </xf>
    <xf numFmtId="0" fontId="16" fillId="0" borderId="3" xfId="1" applyBorder="1"/>
    <xf numFmtId="0" fontId="16" fillId="0" borderId="7" xfId="1" applyBorder="1"/>
    <xf numFmtId="164" fontId="16" fillId="0" borderId="1" xfId="1" applyNumberFormat="1" applyBorder="1"/>
    <xf numFmtId="0" fontId="19" fillId="2" borderId="1" xfId="1" applyFont="1" applyFill="1" applyBorder="1" applyAlignment="1">
      <alignment horizontal="centerContinuous"/>
    </xf>
    <xf numFmtId="0" fontId="0" fillId="0" borderId="5" xfId="1" applyFont="1" applyBorder="1" applyAlignment="1">
      <alignment horizontal="left" indent="1"/>
    </xf>
    <xf numFmtId="49" fontId="16" fillId="0" borderId="5" xfId="1" applyNumberFormat="1" applyBorder="1" applyAlignment="1">
      <alignment horizontal="center"/>
    </xf>
    <xf numFmtId="0" fontId="0" fillId="0" borderId="5" xfId="1" applyFont="1" applyBorder="1" applyAlignment="1">
      <alignment horizontal="center"/>
    </xf>
    <xf numFmtId="164" fontId="16" fillId="0" borderId="5" xfId="1" applyNumberFormat="1" applyBorder="1"/>
    <xf numFmtId="0" fontId="0" fillId="0" borderId="4" xfId="1" applyFont="1" applyBorder="1" applyAlignment="1">
      <alignment horizontal="left" indent="1"/>
    </xf>
    <xf numFmtId="49" fontId="16" fillId="0" borderId="4" xfId="1" applyNumberFormat="1" applyBorder="1" applyAlignment="1">
      <alignment horizontal="center"/>
    </xf>
    <xf numFmtId="0" fontId="0" fillId="0" borderId="4" xfId="1" applyFont="1" applyBorder="1" applyAlignment="1">
      <alignment horizontal="center"/>
    </xf>
    <xf numFmtId="0" fontId="0" fillId="0" borderId="6" xfId="1" applyFont="1" applyBorder="1" applyAlignment="1">
      <alignment horizontal="left" indent="1"/>
    </xf>
    <xf numFmtId="49" fontId="16" fillId="0" borderId="6" xfId="1" applyNumberFormat="1" applyBorder="1" applyAlignment="1">
      <alignment horizontal="center"/>
    </xf>
    <xf numFmtId="0" fontId="0" fillId="0" borderId="6" xfId="1" applyFont="1" applyBorder="1" applyAlignment="1">
      <alignment horizontal="center"/>
    </xf>
    <xf numFmtId="164" fontId="16" fillId="0" borderId="6" xfId="1" applyNumberFormat="1" applyBorder="1"/>
    <xf numFmtId="0" fontId="19" fillId="0" borderId="3" xfId="1" applyFont="1" applyBorder="1"/>
    <xf numFmtId="0" fontId="19" fillId="0" borderId="1" xfId="1" applyFont="1" applyBorder="1" applyAlignment="1">
      <alignment horizontal="centerContinuous"/>
    </xf>
    <xf numFmtId="164" fontId="19" fillId="0" borderId="1" xfId="1" applyNumberFormat="1" applyFont="1" applyBorder="1"/>
    <xf numFmtId="49" fontId="16" fillId="0" borderId="0" xfId="1" applyNumberFormat="1"/>
    <xf numFmtId="0" fontId="19" fillId="2" borderId="10" xfId="1" applyFont="1" applyFill="1" applyBorder="1"/>
    <xf numFmtId="0" fontId="19" fillId="2" borderId="11" xfId="1" applyFont="1" applyFill="1" applyBorder="1"/>
    <xf numFmtId="49" fontId="19" fillId="2" borderId="3" xfId="1" applyNumberFormat="1" applyFont="1" applyFill="1" applyBorder="1" applyAlignment="1">
      <alignment horizontal="centerContinuous"/>
    </xf>
    <xf numFmtId="0" fontId="16" fillId="2" borderId="2" xfId="1" applyFill="1" applyBorder="1" applyAlignment="1">
      <alignment horizontal="centerContinuous"/>
    </xf>
    <xf numFmtId="0" fontId="16" fillId="2" borderId="7" xfId="1" applyFill="1" applyBorder="1" applyAlignment="1">
      <alignment horizontal="centerContinuous"/>
    </xf>
    <xf numFmtId="0" fontId="19" fillId="2" borderId="1" xfId="1" applyFont="1" applyFill="1" applyBorder="1"/>
    <xf numFmtId="49" fontId="19" fillId="2" borderId="7" xfId="1" applyNumberFormat="1" applyFont="1" applyFill="1" applyBorder="1" applyAlignment="1">
      <alignment horizontal="center"/>
    </xf>
    <xf numFmtId="0" fontId="16" fillId="0" borderId="5" xfId="1" applyBorder="1"/>
    <xf numFmtId="0" fontId="0" fillId="0" borderId="10" xfId="1" applyFont="1" applyBorder="1"/>
    <xf numFmtId="1" fontId="0" fillId="0" borderId="5" xfId="1" applyNumberFormat="1" applyFont="1" applyBorder="1"/>
    <xf numFmtId="2" fontId="16" fillId="0" borderId="5" xfId="1" applyNumberFormat="1" applyBorder="1"/>
    <xf numFmtId="49" fontId="0" fillId="0" borderId="4" xfId="1" applyNumberFormat="1" applyFont="1" applyBorder="1"/>
    <xf numFmtId="164" fontId="16" fillId="3" borderId="5" xfId="1" applyNumberFormat="1" applyFill="1" applyBorder="1"/>
    <xf numFmtId="1" fontId="18" fillId="0" borderId="5" xfId="2" applyNumberFormat="1" applyBorder="1"/>
    <xf numFmtId="164" fontId="20" fillId="3" borderId="5" xfId="1" quotePrefix="1" applyNumberFormat="1" applyFont="1" applyFill="1" applyBorder="1" applyAlignment="1">
      <alignment horizontal="right"/>
    </xf>
    <xf numFmtId="165" fontId="20" fillId="3" borderId="5" xfId="1" quotePrefix="1" applyNumberFormat="1" applyFont="1" applyFill="1" applyBorder="1" applyAlignment="1">
      <alignment horizontal="right"/>
    </xf>
    <xf numFmtId="10" fontId="20" fillId="3" borderId="5" xfId="1" quotePrefix="1" applyNumberFormat="1" applyFont="1" applyFill="1" applyBorder="1" applyAlignment="1">
      <alignment horizontal="right"/>
    </xf>
    <xf numFmtId="0" fontId="16" fillId="0" borderId="4" xfId="1" applyBorder="1"/>
    <xf numFmtId="166" fontId="0" fillId="0" borderId="8" xfId="1" applyNumberFormat="1" applyFont="1" applyBorder="1"/>
    <xf numFmtId="1" fontId="0" fillId="0" borderId="4" xfId="1" applyNumberFormat="1" applyFont="1" applyBorder="1"/>
    <xf numFmtId="2" fontId="16" fillId="0" borderId="4" xfId="1" applyNumberFormat="1" applyBorder="1"/>
    <xf numFmtId="164" fontId="16" fillId="3" borderId="4" xfId="1" applyNumberFormat="1" applyFill="1" applyBorder="1"/>
    <xf numFmtId="1" fontId="16" fillId="0" borderId="4" xfId="1" applyNumberFormat="1" applyBorder="1"/>
    <xf numFmtId="164" fontId="20" fillId="3" borderId="4" xfId="1" quotePrefix="1" applyNumberFormat="1" applyFont="1" applyFill="1" applyBorder="1" applyAlignment="1">
      <alignment horizontal="right"/>
    </xf>
    <xf numFmtId="165" fontId="20" fillId="3" borderId="4" xfId="1" quotePrefix="1" applyNumberFormat="1" applyFont="1" applyFill="1" applyBorder="1" applyAlignment="1">
      <alignment horizontal="right"/>
    </xf>
    <xf numFmtId="10" fontId="20" fillId="3" borderId="4" xfId="1" quotePrefix="1" applyNumberFormat="1" applyFont="1" applyFill="1" applyBorder="1" applyAlignment="1">
      <alignment horizontal="right"/>
    </xf>
    <xf numFmtId="166" fontId="16" fillId="0" borderId="6" xfId="1" applyNumberFormat="1" applyBorder="1"/>
    <xf numFmtId="1" fontId="16" fillId="0" borderId="6" xfId="1" applyNumberFormat="1" applyBorder="1"/>
    <xf numFmtId="2" fontId="16" fillId="0" borderId="6" xfId="1" applyNumberFormat="1" applyBorder="1"/>
    <xf numFmtId="0" fontId="16" fillId="0" borderId="6" xfId="1" applyBorder="1"/>
    <xf numFmtId="164" fontId="16" fillId="3" borderId="6" xfId="1" applyNumberFormat="1" applyFill="1" applyBorder="1"/>
    <xf numFmtId="165" fontId="16" fillId="3" borderId="6" xfId="1" applyNumberFormat="1" applyFill="1" applyBorder="1"/>
    <xf numFmtId="10" fontId="16" fillId="3" borderId="6" xfId="1" applyNumberFormat="1" applyFill="1" applyBorder="1"/>
    <xf numFmtId="0" fontId="19" fillId="3" borderId="3" xfId="1" applyFont="1" applyFill="1" applyBorder="1"/>
    <xf numFmtId="0" fontId="19" fillId="3" borderId="2" xfId="1" applyFont="1" applyFill="1" applyBorder="1"/>
    <xf numFmtId="49" fontId="19" fillId="3" borderId="7" xfId="1" applyNumberFormat="1" applyFont="1" applyFill="1" applyBorder="1"/>
    <xf numFmtId="164" fontId="19" fillId="3" borderId="1" xfId="1" applyNumberFormat="1" applyFont="1" applyFill="1" applyBorder="1"/>
    <xf numFmtId="165" fontId="19" fillId="3" borderId="1" xfId="1" applyNumberFormat="1" applyFont="1" applyFill="1" applyBorder="1"/>
    <xf numFmtId="10" fontId="21" fillId="3" borderId="1" xfId="1" quotePrefix="1" applyNumberFormat="1" applyFont="1" applyFill="1" applyBorder="1" applyAlignment="1">
      <alignment horizontal="right"/>
    </xf>
    <xf numFmtId="0" fontId="0" fillId="0" borderId="5" xfId="1" applyFont="1" applyBorder="1"/>
    <xf numFmtId="49" fontId="0" fillId="0" borderId="5" xfId="1" applyNumberFormat="1" applyFont="1" applyBorder="1"/>
    <xf numFmtId="0" fontId="0" fillId="0" borderId="4" xfId="1" applyFont="1" applyBorder="1"/>
    <xf numFmtId="0" fontId="0" fillId="0" borderId="6" xfId="1" applyFont="1" applyBorder="1"/>
    <xf numFmtId="166" fontId="0" fillId="0" borderId="12" xfId="1" applyNumberFormat="1" applyFont="1" applyBorder="1"/>
    <xf numFmtId="49" fontId="16" fillId="2" borderId="2" xfId="1" applyNumberFormat="1" applyFill="1" applyBorder="1"/>
    <xf numFmtId="49" fontId="16" fillId="2" borderId="7" xfId="1" applyNumberFormat="1" applyFill="1" applyBorder="1"/>
    <xf numFmtId="49" fontId="16" fillId="0" borderId="7" xfId="1" applyNumberFormat="1" applyBorder="1"/>
    <xf numFmtId="0" fontId="19" fillId="0" borderId="1" xfId="1" applyFont="1" applyBorder="1" applyAlignment="1">
      <alignment horizontal="center"/>
    </xf>
    <xf numFmtId="0" fontId="19" fillId="0" borderId="6" xfId="1" applyFont="1" applyBorder="1" applyAlignment="1">
      <alignment horizontal="center"/>
    </xf>
    <xf numFmtId="0" fontId="16" fillId="0" borderId="10" xfId="1" applyBorder="1"/>
    <xf numFmtId="49" fontId="16" fillId="0" borderId="13" xfId="1" applyNumberFormat="1" applyBorder="1"/>
    <xf numFmtId="0" fontId="16" fillId="0" borderId="4" xfId="1" applyBorder="1" applyAlignment="1">
      <alignment horizontal="center"/>
    </xf>
    <xf numFmtId="0" fontId="16" fillId="3" borderId="4" xfId="1" applyFill="1" applyBorder="1" applyAlignment="1">
      <alignment horizontal="center"/>
    </xf>
    <xf numFmtId="49" fontId="16" fillId="0" borderId="9" xfId="1" applyNumberFormat="1" applyBorder="1"/>
    <xf numFmtId="0" fontId="19" fillId="0" borderId="1" xfId="1" applyFont="1" applyBorder="1"/>
    <xf numFmtId="0" fontId="16" fillId="0" borderId="5" xfId="1" applyBorder="1" applyAlignment="1">
      <alignment horizontal="center"/>
    </xf>
    <xf numFmtId="0" fontId="0" fillId="0" borderId="8" xfId="1" applyFont="1" applyBorder="1"/>
    <xf numFmtId="0" fontId="16" fillId="3" borderId="6" xfId="1" applyFill="1" applyBorder="1" applyAlignment="1">
      <alignment horizontal="center"/>
    </xf>
    <xf numFmtId="0" fontId="17" fillId="0" borderId="3" xfId="2" applyFont="1" applyBorder="1"/>
    <xf numFmtId="4" fontId="17" fillId="0" borderId="1" xfId="2" applyNumberFormat="1" applyFont="1" applyBorder="1" applyAlignment="1">
      <alignment horizontal="center"/>
    </xf>
    <xf numFmtId="0" fontId="18" fillId="0" borderId="0" xfId="2"/>
    <xf numFmtId="2" fontId="18" fillId="0" borderId="5" xfId="2" quotePrefix="1" applyNumberFormat="1" applyBorder="1" applyAlignment="1">
      <alignment horizontal="left"/>
    </xf>
    <xf numFmtId="165" fontId="18" fillId="0" borderId="5" xfId="2" applyNumberFormat="1" applyBorder="1"/>
    <xf numFmtId="2" fontId="18" fillId="0" borderId="4" xfId="2" quotePrefix="1" applyNumberFormat="1" applyBorder="1" applyAlignment="1">
      <alignment horizontal="left"/>
    </xf>
    <xf numFmtId="1" fontId="20" fillId="0" borderId="4" xfId="2" applyNumberFormat="1" applyFont="1" applyBorder="1"/>
    <xf numFmtId="165" fontId="20" fillId="0" borderId="4" xfId="2" applyNumberFormat="1" applyFont="1" applyBorder="1"/>
    <xf numFmtId="1" fontId="18" fillId="0" borderId="4" xfId="2" quotePrefix="1" applyNumberFormat="1" applyBorder="1" applyAlignment="1">
      <alignment horizontal="left"/>
    </xf>
    <xf numFmtId="1" fontId="18" fillId="0" borderId="4" xfId="2" applyNumberFormat="1" applyBorder="1" applyAlignment="1">
      <alignment horizontal="left"/>
    </xf>
    <xf numFmtId="1" fontId="18" fillId="0" borderId="4" xfId="2" applyNumberFormat="1" applyBorder="1"/>
    <xf numFmtId="165" fontId="18" fillId="0" borderId="4" xfId="2" applyNumberFormat="1" applyBorder="1"/>
    <xf numFmtId="2" fontId="20" fillId="0" borderId="4" xfId="2" applyNumberFormat="1" applyFont="1" applyBorder="1"/>
    <xf numFmtId="2" fontId="18" fillId="0" borderId="4" xfId="2" applyNumberFormat="1" applyBorder="1"/>
    <xf numFmtId="0" fontId="18" fillId="0" borderId="4" xfId="2" applyBorder="1" applyAlignment="1">
      <alignment horizontal="left"/>
    </xf>
    <xf numFmtId="167" fontId="18" fillId="0" borderId="4" xfId="2" applyNumberFormat="1" applyBorder="1"/>
    <xf numFmtId="164" fontId="18" fillId="0" borderId="4" xfId="2" applyNumberFormat="1" applyBorder="1"/>
    <xf numFmtId="0" fontId="18" fillId="0" borderId="6" xfId="2" applyBorder="1" applyAlignment="1">
      <alignment horizontal="left"/>
    </xf>
    <xf numFmtId="167" fontId="18" fillId="0" borderId="6" xfId="2" applyNumberFormat="1" applyBorder="1"/>
    <xf numFmtId="164" fontId="18" fillId="0" borderId="6" xfId="2" applyNumberFormat="1" applyBorder="1"/>
    <xf numFmtId="3" fontId="18" fillId="0" borderId="0" xfId="2" applyNumberFormat="1"/>
    <xf numFmtId="0" fontId="23" fillId="0" borderId="0" xfId="1" applyFont="1"/>
    <xf numFmtId="0" fontId="22" fillId="0" borderId="1" xfId="1" applyFont="1" applyBorder="1"/>
    <xf numFmtId="49" fontId="16" fillId="0" borderId="4" xfId="1" applyNumberFormat="1" applyBorder="1"/>
    <xf numFmtId="49" fontId="16" fillId="0" borderId="6" xfId="1" applyNumberFormat="1" applyBorder="1"/>
    <xf numFmtId="0" fontId="16" fillId="0" borderId="5" xfId="1" applyBorder="1" applyAlignment="1">
      <alignment horizontal="left" indent="1"/>
    </xf>
    <xf numFmtId="0" fontId="16" fillId="0" borderId="4" xfId="1" applyBorder="1" applyAlignment="1">
      <alignment horizontal="left" indent="1"/>
    </xf>
    <xf numFmtId="0" fontId="16" fillId="0" borderId="6" xfId="1" applyBorder="1" applyAlignment="1">
      <alignment horizontal="left" indent="1"/>
    </xf>
    <xf numFmtId="0" fontId="19" fillId="0" borderId="4" xfId="1" applyFont="1" applyBorder="1" applyAlignment="1">
      <alignment horizontal="left"/>
    </xf>
    <xf numFmtId="0" fontId="18" fillId="0" borderId="10" xfId="1" applyFont="1" applyBorder="1"/>
    <xf numFmtId="166" fontId="18" fillId="0" borderId="8" xfId="1" applyNumberFormat="1" applyFont="1" applyBorder="1"/>
    <xf numFmtId="0" fontId="18" fillId="0" borderId="8" xfId="1" applyFont="1" applyBorder="1"/>
    <xf numFmtId="0" fontId="18" fillId="0" borderId="4" xfId="1" applyFont="1" applyBorder="1" applyAlignment="1">
      <alignment horizontal="center"/>
    </xf>
    <xf numFmtId="49" fontId="18" fillId="0" borderId="4" xfId="1" applyNumberFormat="1" applyFont="1" applyBorder="1"/>
    <xf numFmtId="0" fontId="13" fillId="0" borderId="4" xfId="1" applyFont="1" applyBorder="1" applyAlignment="1">
      <alignment horizontal="left" indent="1"/>
    </xf>
    <xf numFmtId="0" fontId="13" fillId="0" borderId="6" xfId="1" applyFont="1" applyBorder="1" applyAlignment="1">
      <alignment horizontal="left" indent="1"/>
    </xf>
    <xf numFmtId="0" fontId="11" fillId="0" borderId="4" xfId="1" applyFont="1" applyBorder="1" applyAlignment="1">
      <alignment horizontal="center"/>
    </xf>
    <xf numFmtId="0" fontId="0" fillId="0" borderId="5" xfId="1" quotePrefix="1" applyFont="1" applyBorder="1" applyAlignment="1">
      <alignment horizontal="center"/>
    </xf>
    <xf numFmtId="0" fontId="0" fillId="0" borderId="6" xfId="1" quotePrefix="1" applyFont="1" applyBorder="1" applyAlignment="1">
      <alignment horizontal="center"/>
    </xf>
    <xf numFmtId="166" fontId="20" fillId="0" borderId="12" xfId="1" applyNumberFormat="1" applyFont="1" applyBorder="1"/>
    <xf numFmtId="49" fontId="0" fillId="0" borderId="4" xfId="1" quotePrefix="1" applyNumberFormat="1" applyFont="1" applyBorder="1" applyAlignment="1">
      <alignment horizontal="center"/>
    </xf>
    <xf numFmtId="0" fontId="0" fillId="0" borderId="4" xfId="1" quotePrefix="1" applyFont="1" applyBorder="1" applyAlignment="1">
      <alignment horizontal="center"/>
    </xf>
    <xf numFmtId="0" fontId="10" fillId="0" borderId="12" xfId="1" applyFont="1" applyBorder="1"/>
    <xf numFmtId="0" fontId="10" fillId="0" borderId="6" xfId="1" applyFont="1" applyBorder="1" applyAlignment="1">
      <alignment horizontal="center"/>
    </xf>
    <xf numFmtId="49" fontId="12" fillId="0" borderId="6" xfId="1" quotePrefix="1" applyNumberFormat="1" applyFont="1" applyBorder="1"/>
    <xf numFmtId="49" fontId="16" fillId="0" borderId="5" xfId="1" applyNumberFormat="1" applyBorder="1"/>
    <xf numFmtId="49" fontId="13" fillId="0" borderId="4" xfId="1" quotePrefix="1" applyNumberFormat="1" applyFont="1" applyBorder="1"/>
    <xf numFmtId="49" fontId="13" fillId="0" borderId="6" xfId="1" quotePrefix="1" applyNumberFormat="1" applyFont="1" applyBorder="1"/>
    <xf numFmtId="49" fontId="15" fillId="0" borderId="4" xfId="1" applyNumberFormat="1" applyFont="1" applyBorder="1"/>
    <xf numFmtId="0" fontId="9" fillId="0" borderId="0" xfId="1" applyFont="1"/>
    <xf numFmtId="166" fontId="7" fillId="0" borderId="12" xfId="1" applyNumberFormat="1" applyFont="1" applyBorder="1"/>
    <xf numFmtId="0" fontId="19" fillId="0" borderId="12" xfId="1" applyFont="1" applyBorder="1"/>
    <xf numFmtId="0" fontId="16" fillId="0" borderId="14" xfId="1" applyBorder="1"/>
    <xf numFmtId="164" fontId="19" fillId="0" borderId="6" xfId="1" applyNumberFormat="1" applyFont="1" applyBorder="1"/>
    <xf numFmtId="49" fontId="0" fillId="0" borderId="5" xfId="1" quotePrefix="1" applyNumberFormat="1" applyFont="1" applyBorder="1" applyAlignment="1">
      <alignment horizontal="center"/>
    </xf>
    <xf numFmtId="0" fontId="18" fillId="0" borderId="6" xfId="1" applyFont="1" applyBorder="1" applyAlignment="1">
      <alignment horizontal="left" indent="1"/>
    </xf>
    <xf numFmtId="49" fontId="18" fillId="0" borderId="6" xfId="1" quotePrefix="1" applyNumberFormat="1" applyFont="1" applyBorder="1" applyAlignment="1">
      <alignment horizontal="center"/>
    </xf>
    <xf numFmtId="49" fontId="6" fillId="0" borderId="13" xfId="1" applyNumberFormat="1" applyFont="1" applyBorder="1"/>
    <xf numFmtId="49" fontId="6" fillId="0" borderId="9" xfId="1" applyNumberFormat="1" applyFont="1" applyBorder="1"/>
    <xf numFmtId="0" fontId="6" fillId="0" borderId="4" xfId="1" applyFont="1" applyBorder="1" applyAlignment="1">
      <alignment horizontal="center"/>
    </xf>
    <xf numFmtId="49" fontId="6" fillId="0" borderId="14" xfId="1" applyNumberFormat="1" applyFont="1" applyBorder="1"/>
    <xf numFmtId="0" fontId="6" fillId="0" borderId="8" xfId="1" applyFont="1" applyBorder="1"/>
    <xf numFmtId="0" fontId="6" fillId="0" borderId="12" xfId="1" applyFont="1" applyBorder="1"/>
    <xf numFmtId="0" fontId="6" fillId="0" borderId="6" xfId="1" applyFont="1" applyBorder="1" applyAlignment="1">
      <alignment horizontal="center"/>
    </xf>
    <xf numFmtId="0" fontId="5" fillId="0" borderId="5" xfId="1" applyFont="1" applyBorder="1" applyAlignment="1">
      <alignment horizontal="left" indent="1"/>
    </xf>
    <xf numFmtId="49" fontId="5" fillId="0" borderId="5" xfId="1" quotePrefix="1" applyNumberFormat="1" applyFont="1" applyBorder="1"/>
    <xf numFmtId="49" fontId="5" fillId="0" borderId="6" xfId="1" quotePrefix="1" applyNumberFormat="1" applyFont="1" applyBorder="1"/>
    <xf numFmtId="49" fontId="4" fillId="0" borderId="4" xfId="1" applyNumberFormat="1" applyFont="1" applyBorder="1"/>
    <xf numFmtId="49" fontId="8" fillId="4" borderId="4" xfId="1" applyNumberFormat="1" applyFont="1" applyFill="1" applyBorder="1"/>
    <xf numFmtId="49" fontId="3" fillId="4" borderId="5" xfId="1" applyNumberFormat="1" applyFont="1" applyFill="1" applyBorder="1"/>
    <xf numFmtId="49" fontId="4" fillId="4" borderId="6" xfId="1" applyNumberFormat="1" applyFont="1" applyFill="1" applyBorder="1"/>
    <xf numFmtId="49" fontId="3" fillId="4" borderId="5" xfId="1" quotePrefix="1" applyNumberFormat="1" applyFont="1" applyFill="1" applyBorder="1"/>
    <xf numFmtId="49" fontId="3" fillId="4" borderId="4" xfId="1" applyNumberFormat="1" applyFont="1" applyFill="1" applyBorder="1"/>
    <xf numFmtId="49" fontId="3" fillId="4" borderId="6" xfId="1" applyNumberFormat="1" applyFont="1" applyFill="1" applyBorder="1"/>
    <xf numFmtId="49" fontId="4" fillId="4" borderId="4" xfId="1" applyNumberFormat="1" applyFont="1" applyFill="1" applyBorder="1"/>
    <xf numFmtId="49" fontId="14" fillId="4" borderId="4" xfId="1" applyNumberFormat="1" applyFont="1" applyFill="1" applyBorder="1"/>
    <xf numFmtId="0" fontId="2" fillId="0" borderId="4" xfId="1" applyFont="1" applyBorder="1" applyAlignment="1">
      <alignment horizontal="center"/>
    </xf>
    <xf numFmtId="0" fontId="1" fillId="0" borderId="6" xfId="1" applyFont="1" applyBorder="1" applyAlignment="1">
      <alignment horizontal="left" indent="1"/>
    </xf>
    <xf numFmtId="49" fontId="1" fillId="0" borderId="6" xfId="1" quotePrefix="1" applyNumberFormat="1" applyFont="1" applyBorder="1"/>
    <xf numFmtId="0" fontId="1" fillId="0" borderId="5" xfId="1" applyFont="1" applyBorder="1" applyAlignment="1">
      <alignment horizontal="left" indent="1"/>
    </xf>
    <xf numFmtId="49" fontId="1" fillId="4" borderId="5" xfId="1" quotePrefix="1" applyNumberFormat="1" applyFont="1" applyFill="1" applyBorder="1"/>
    <xf numFmtId="49" fontId="1" fillId="4" borderId="4" xfId="1" quotePrefix="1" applyNumberFormat="1" applyFont="1" applyFill="1" applyBorder="1"/>
  </cellXfs>
  <cellStyles count="3">
    <cellStyle name="Normal" xfId="0" builtinId="0"/>
    <cellStyle name="Normal 2" xfId="2" xr:uid="{D3801CBF-0478-40B2-9032-81E0E01F872F}"/>
    <cellStyle name="Normal 4" xfId="1" xr:uid="{158BE7B0-587F-4428-9235-7E64070630E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E54C60A3-863D-41FD-9063-67343FD56500}">
  <sheetPr>
    <pageSetUpPr fitToPage="1"/>
  </sheetPr>
  <dimension ref="A1:C45"/>
  <sheetViews>
    <sheetView tabSelected="1" topLeftCell="A23" workbookViewId="0">
      <selection activeCell="B44" sqref="B44"/>
    </sheetView>
  </sheetViews>
  <sheetFormatPr defaultColWidth="9.140625" defaultRowHeight="15" ns3:dyDescent="0.25"/>
  <cols>
    <col min="1" max="1" width="25.28515625" style="5" customWidth="1"/>
    <col min="2" max="2" width="24.5703125" style="5" customWidth="1"/>
    <col min="3" max="3" width="11.7109375" style="5" customWidth="1"/>
    <col min="4" max="16384" width="9.140625" style="5"/>
  </cols>
  <sheetData>
    <row r="1" spans="1:2" s="112" customFormat="1" ht="18.75" ns3:dyDescent="0.3">
      <c r="A1" s="113" t="s">
        <v>9</v>
      </c>
      <c r="B1" s="113" t="s">
        <v>131</v>
      </c>
    </row>
    <row r="2" spans="1:2" ns3:dyDescent="0.25">
      <c r="A2" s="1" t="s">
        <v>113</v>
      </c>
      <c r="B2" s="6"/>
    </row>
    <row r="3" spans="1:2" ns3:dyDescent="0.25">
      <c r="A3" s="117" t="s">
        <v>33</v>
      </c>
      <c r="B3" s="158" t="s">
        <v>132</v>
      </c>
    </row>
    <row r="4" spans="1:2" ns3:dyDescent="0.25">
      <c r="A4" s="1" t="s">
        <v>20</v>
      </c>
      <c r="B4" s="6"/>
    </row>
    <row r="5" spans="1:2" ns3:dyDescent="0.25">
      <c r="A5" s="117" t="s">
        <v>21</v>
      </c>
      <c r="B5" s="159" t="inlineStr">
        <is>
          <t>[Restricted]</t>
        </is>
      </c>
    </row>
    <row r="6" spans="1:2" ns3:dyDescent="0.25">
      <c r="A6" s="1" t="s">
        <v>28</v>
      </c>
      <c r="B6" s="6"/>
    </row>
    <row r="7" spans="1:2" ns3:dyDescent="0.25">
      <c r="A7" s="117" t="s">
        <v>22</v>
      </c>
      <c r="B7" s="160" t="inlineStr">
        <is>
          <t>[Restricted]</t>
        </is>
      </c>
    </row>
    <row r="8" spans="1:2" ns3:dyDescent="0.25">
      <c r="A8" s="118" t="s">
        <v>23</v>
      </c>
      <c r="B8" s="135"/>
    </row>
    <row r="9" spans="1:2" ns3:dyDescent="0.25">
      <c r="A9" s="1" t="s">
        <v>26</v>
      </c>
      <c r="B9" s="6"/>
    </row>
    <row r="10" spans="1:2" ns3:dyDescent="0.25">
      <c r="A10" s="116" t="s">
        <v>22</v>
      </c>
      <c r="B10" s="160" t="inlineStr">
        <is>
          <t>[Restricted]</t>
        </is>
      </c>
    </row>
    <row r="11" spans="1:2" ns3:dyDescent="0.25">
      <c r="A11" s="118" t="s">
        <v>25</v>
      </c>
      <c r="B11" s="161" t="inlineStr">
        <is>
          <t>[Restricted]</t>
        </is>
      </c>
    </row>
    <row r="12" spans="1:2" ns3:dyDescent="0.25">
      <c r="A12" s="1" t="s">
        <v>27</v>
      </c>
      <c r="B12" s="6"/>
    </row>
    <row r="13" spans="1:2" ns3:dyDescent="0.25">
      <c r="A13" s="116" t="s">
        <v>23</v>
      </c>
      <c r="B13" s="162" t="inlineStr">
        <is>
          <t>[Restricted]</t>
        </is>
      </c>
    </row>
    <row r="14" spans="1:2" ns3:dyDescent="0.25">
      <c r="A14" s="118" t="s">
        <v>24</v>
      </c>
      <c r="B14" s="115"/>
    </row>
    <row r="15" spans="1:2" ns3:dyDescent="0.25">
      <c r="A15" s="1" t="s">
        <v>130</v>
      </c>
      <c r="B15" s="6"/>
    </row>
    <row r="16" spans="1:2" ns3:dyDescent="0.25">
      <c r="A16" s="155" t="s">
        <v>22</v>
      </c>
      <c r="B16" s="156"/>
    </row>
    <row r="17" spans="1:3" ns3:dyDescent="0.25">
      <c r="A17" s="118" t="s">
        <v>23</v>
      </c>
      <c r="B17" s="157"/>
    </row>
    <row r="18" spans="1:3" ns3:dyDescent="0.25">
      <c r="A18" s="1" t="s">
        <v>29</v>
      </c>
      <c r="B18" s="6"/>
    </row>
    <row r="19" spans="1:3" ns3:dyDescent="0.25">
      <c r="A19" s="116" t="s">
        <v>3</v>
      </c>
      <c r="B19" s="136" t="inlineStr">
        <is>
          <t>[Restricted]</t>
        </is>
      </c>
    </row>
    <row r="20" spans="1:3" ns3:dyDescent="0.25">
      <c r="A20" s="117" t="s">
        <v>1</v>
      </c>
      <c r="B20" s="114" t="inlineStr">
        <is>
          <t>[Restricted]</t>
        </is>
      </c>
    </row>
    <row r="21" spans="1:3" ns3:dyDescent="0.25">
      <c r="A21" s="117" t="s">
        <v>5</v>
      </c>
      <c r="B21" s="114" t="inlineStr">
        <is>
          <t>[Restricted]</t>
        </is>
      </c>
    </row>
    <row r="22" spans="1:3" ns3:dyDescent="0.25">
      <c r="A22" s="117" t="s">
        <v>2</v>
      </c>
      <c r="B22" s="114" t="inlineStr">
        <is>
          <t>[Restricted]</t>
        </is>
      </c>
    </row>
    <row r="23" spans="1:3" ns3:dyDescent="0.25">
      <c r="A23" s="117" t="s">
        <v>4</v>
      </c>
      <c r="B23" s="163" t="inlineStr">
        <is>
          <t>[Restricted]</t>
        </is>
      </c>
      <c r="C23" s="140"/>
    </row>
    <row r="24" spans="1:3" ns3:dyDescent="0.25">
      <c r="A24" s="117" t="s">
        <v>15</v>
      </c>
      <c r="B24" s="114" t="s">
        <v>14</v>
      </c>
    </row>
    <row r="25" spans="1:3" ns3:dyDescent="0.25">
      <c r="A25" s="117" t="s">
        <v>13</v>
      </c>
      <c r="B25" s="114" t="s">
        <v>16</v>
      </c>
    </row>
    <row r="26" spans="1:3" ns3:dyDescent="0.25">
      <c r="A26" s="118" t="s">
        <v>12</v>
      </c>
      <c r="B26" s="164" t="inlineStr">
        <is>
          <t>[Restricted]</t>
        </is>
      </c>
    </row>
    <row r="27" spans="1:3" ns3:dyDescent="0.25">
      <c r="A27" s="117" t="s">
        <v>22</v>
      </c>
      <c r="B27" s="166" t="inlineStr">
        <is>
          <t>[Restricted]</t>
        </is>
      </c>
    </row>
    <row r="28" spans="1:3" ns3:dyDescent="0.25">
      <c r="A28" s="125" t="s">
        <v>116</v>
      </c>
      <c r="B28" s="137"/>
    </row>
    <row r="29" spans="1:3" ns3:dyDescent="0.25">
      <c r="A29" s="126" t="s">
        <v>117</v>
      </c>
      <c r="B29" s="138"/>
    </row>
    <row r="30" spans="1:3" ns3:dyDescent="0.25">
      <c r="A30" s="1" t="s">
        <v>30</v>
      </c>
      <c r="B30" s="6"/>
    </row>
    <row r="31" spans="1:3" ns3:dyDescent="0.25">
      <c r="A31" s="117" t="s">
        <v>34</v>
      </c>
      <c r="B31" s="165" t="inlineStr">
        <is>
          <t>[Restricted]</t>
        </is>
      </c>
    </row>
    <row r="32" spans="1:3" ns3:dyDescent="0.25">
      <c r="A32" s="117" t="s">
        <v>1</v>
      </c>
      <c r="B32" s="139" t="inlineStr">
        <is>
          <t>[Restricted]</t>
        </is>
      </c>
    </row>
    <row r="33" spans="1:2" ns3:dyDescent="0.25">
      <c r="A33" s="117" t="s">
        <v>5</v>
      </c>
      <c r="B33" s="114" t="inlineStr">
        <is>
          <t>[Restricted]</t>
        </is>
      </c>
    </row>
    <row r="34" spans="1:2" ns3:dyDescent="0.25">
      <c r="A34" s="1" t="s">
        <v>31</v>
      </c>
      <c r="B34" s="6"/>
    </row>
    <row r="35" spans="1:2" ns3:dyDescent="0.25">
      <c r="A35" s="116" t="s">
        <v>3</v>
      </c>
      <c r="B35" s="136" t="inlineStr">
        <is>
          <t>[Restricted]</t>
        </is>
      </c>
    </row>
    <row r="36" spans="1:2" ns3:dyDescent="0.25">
      <c r="A36" s="117" t="s">
        <v>1</v>
      </c>
      <c r="B36" s="114" t="inlineStr">
        <is>
          <t>[Restricted]</t>
        </is>
      </c>
    </row>
    <row r="37" spans="1:2" ns3:dyDescent="0.25">
      <c r="A37" s="117" t="s">
        <v>5</v>
      </c>
      <c r="B37" s="114" t="inlineStr">
        <is>
          <t>[Restricted]</t>
        </is>
      </c>
    </row>
    <row r="38" spans="1:2" ns3:dyDescent="0.25">
      <c r="A38" s="119" t="s">
        <v>114</v>
      </c>
      <c r="B38" s="114"/>
    </row>
    <row r="39" spans="1:2" ns3:dyDescent="0.25">
      <c r="A39" s="117" t="s">
        <v>1</v>
      </c>
      <c r="B39" s="114"/>
    </row>
    <row r="40" spans="1:2" ns3:dyDescent="0.25">
      <c r="A40" s="117" t="s">
        <v>5</v>
      </c>
      <c r="B40" s="114"/>
    </row>
    <row r="41" spans="1:2" ns3:dyDescent="0.25">
      <c r="A41" s="118" t="s">
        <v>32</v>
      </c>
      <c r="B41" s="115"/>
    </row>
    <row r="42" spans="1:2" ns3:dyDescent="0.25">
      <c r="A42" s="1" t="s">
        <v>120</v>
      </c>
      <c r="B42" s="6"/>
    </row>
    <row r="43" spans="1:2" ns3:dyDescent="0.25">
      <c r="A43" s="170" t="s">
        <v>144</v>
      </c>
      <c r="B43" s="171" t="inlineStr">
        <is>
          <t>[Restricted]</t>
        </is>
      </c>
    </row>
    <row r="44" spans="1:2" ns3:dyDescent="0.25">
      <c r="A44" s="117" t="s">
        <v>22</v>
      </c>
      <c r="B44" s="172" t="inlineStr">
        <is>
          <t>[Restricted]</t>
        </is>
      </c>
    </row>
    <row r="45" spans="1:2" ns3:dyDescent="0.25">
      <c r="A45" s="168" t="s">
        <v>23</v>
      </c>
      <c r="B45" s="169"/>
    </row>
  </sheetData>
  <pageMargins left="0.7" right="0.7" top="1" bottom="0.75" header="0.3" footer="0.3"/>
  <pageSetup orientation="portrait" horizontalDpi="4294967295" verticalDpi="4294967295" ns4:id="rId1"/>
  <headerFooter>
    <oddHeader>&amp;C&amp;"Arial,Bold"&amp;20&amp;A</oddHeader>
    <oddFooter>&amp;L&amp;F&amp;R&amp;D &amp;T</oddFooter>
  </headerFooter>
  <legacyDrawing ns4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A7ADC-78A7-47BF-BDB6-C42F712D9BD0}">
  <sheetPr>
    <pageSetUpPr fitToPage="1"/>
  </sheetPr>
  <dimension ref="A1:F21"/>
  <sheetViews>
    <sheetView workbookViewId="0">
      <selection activeCell="B19" sqref="B19"/>
    </sheetView>
  </sheetViews>
  <sheetFormatPr defaultColWidth="9.140625" defaultRowHeight="15" x14ac:dyDescent="0.25"/>
  <cols>
    <col min="1" max="1" width="27.5703125" style="5" customWidth="1"/>
    <col min="2" max="3" width="10.140625" style="5" customWidth="1"/>
    <col min="4" max="4" width="8.7109375" style="32" customWidth="1"/>
    <col min="5" max="5" width="9.140625" style="5"/>
    <col min="6" max="6" width="25.7109375" style="5" customWidth="1"/>
    <col min="7" max="16384" width="9.140625" style="5"/>
  </cols>
  <sheetData>
    <row r="1" spans="1:6" x14ac:dyDescent="0.25">
      <c r="A1" s="1"/>
      <c r="B1" s="2"/>
      <c r="C1" s="2"/>
      <c r="D1" s="3" t="s">
        <v>19</v>
      </c>
      <c r="E1" s="4"/>
    </row>
    <row r="2" spans="1:6" x14ac:dyDescent="0.25">
      <c r="A2" s="1" t="s">
        <v>35</v>
      </c>
      <c r="B2" s="6"/>
      <c r="C2" s="6"/>
      <c r="D2" s="7" t="s">
        <v>36</v>
      </c>
      <c r="E2" s="8" t="s">
        <v>37</v>
      </c>
    </row>
    <row r="3" spans="1:6" x14ac:dyDescent="0.25">
      <c r="A3" s="9" t="s">
        <v>38</v>
      </c>
      <c r="B3" s="10"/>
      <c r="C3" s="10"/>
      <c r="D3" s="11">
        <v>3.5</v>
      </c>
      <c r="E3" s="12">
        <f t="shared" ref="E3" si="0">D3</f>
        <v>3.5</v>
      </c>
    </row>
    <row r="4" spans="1:6" x14ac:dyDescent="0.25">
      <c r="A4" s="9" t="s">
        <v>39</v>
      </c>
      <c r="B4" s="10"/>
      <c r="C4" s="10"/>
      <c r="D4" s="11">
        <v>0.2</v>
      </c>
      <c r="E4" s="11">
        <v>1</v>
      </c>
    </row>
    <row r="5" spans="1:6" x14ac:dyDescent="0.25">
      <c r="A5" s="9" t="s">
        <v>40</v>
      </c>
      <c r="B5" s="10"/>
      <c r="C5" s="10"/>
      <c r="D5" s="11">
        <v>0.5</v>
      </c>
      <c r="E5" s="11">
        <v>2.5</v>
      </c>
    </row>
    <row r="6" spans="1:6" x14ac:dyDescent="0.25">
      <c r="A6" s="9" t="s">
        <v>41</v>
      </c>
      <c r="B6" s="10"/>
      <c r="C6" s="10"/>
      <c r="D6" s="11">
        <v>2.5</v>
      </c>
      <c r="E6" s="11">
        <v>4</v>
      </c>
    </row>
    <row r="7" spans="1:6" x14ac:dyDescent="0.25">
      <c r="A7" s="13" t="s">
        <v>42</v>
      </c>
      <c r="B7" s="10"/>
      <c r="C7" s="10"/>
      <c r="D7" s="11">
        <v>0.8</v>
      </c>
      <c r="E7" s="12">
        <f>D7</f>
        <v>0.8</v>
      </c>
    </row>
    <row r="8" spans="1:6" x14ac:dyDescent="0.25">
      <c r="A8" s="13" t="s">
        <v>43</v>
      </c>
      <c r="B8" s="10"/>
      <c r="C8" s="10"/>
      <c r="D8" s="11">
        <v>1.2</v>
      </c>
      <c r="E8" s="12">
        <f t="shared" ref="E8:E10" si="1">D8</f>
        <v>1.2</v>
      </c>
    </row>
    <row r="9" spans="1:6" x14ac:dyDescent="0.25">
      <c r="A9" s="9" t="s">
        <v>44</v>
      </c>
      <c r="B9" s="10"/>
      <c r="C9" s="10"/>
      <c r="D9" s="11">
        <v>2</v>
      </c>
      <c r="E9" s="12">
        <f t="shared" si="1"/>
        <v>2</v>
      </c>
    </row>
    <row r="10" spans="1:6" x14ac:dyDescent="0.25">
      <c r="A10" s="9" t="s">
        <v>45</v>
      </c>
      <c r="B10" s="10"/>
      <c r="C10" s="10"/>
      <c r="D10" s="11">
        <v>4</v>
      </c>
      <c r="E10" s="12">
        <f t="shared" si="1"/>
        <v>4</v>
      </c>
    </row>
    <row r="11" spans="1:6" x14ac:dyDescent="0.25">
      <c r="A11" s="14" t="s">
        <v>46</v>
      </c>
      <c r="B11" s="15"/>
      <c r="C11" s="15"/>
      <c r="D11" s="16">
        <f>SUM(D3:D10)</f>
        <v>14.7</v>
      </c>
      <c r="E11" s="16">
        <f>SUM(E3:E10)</f>
        <v>19</v>
      </c>
    </row>
    <row r="12" spans="1:6" x14ac:dyDescent="0.25">
      <c r="A12" s="1" t="s">
        <v>47</v>
      </c>
      <c r="B12" s="17" t="s">
        <v>48</v>
      </c>
      <c r="C12" s="17" t="s">
        <v>49</v>
      </c>
      <c r="D12" s="17" t="s">
        <v>36</v>
      </c>
      <c r="E12" s="17" t="s">
        <v>37</v>
      </c>
    </row>
    <row r="13" spans="1:6" x14ac:dyDescent="0.25">
      <c r="A13" s="18" t="s">
        <v>50</v>
      </c>
      <c r="B13" s="19" t="s">
        <v>51</v>
      </c>
      <c r="C13" s="20">
        <v>24</v>
      </c>
      <c r="D13" s="21">
        <v>4</v>
      </c>
      <c r="E13" s="21">
        <v>6</v>
      </c>
    </row>
    <row r="14" spans="1:6" x14ac:dyDescent="0.25">
      <c r="A14" s="22" t="s">
        <v>52</v>
      </c>
      <c r="B14" s="23" t="s">
        <v>53</v>
      </c>
      <c r="C14" s="24">
        <v>24</v>
      </c>
      <c r="D14" s="11">
        <v>8</v>
      </c>
      <c r="E14" s="11">
        <v>12</v>
      </c>
    </row>
    <row r="15" spans="1:6" x14ac:dyDescent="0.25">
      <c r="A15" s="25" t="s">
        <v>54</v>
      </c>
      <c r="B15" s="26" t="s">
        <v>55</v>
      </c>
      <c r="C15" s="27">
        <v>38</v>
      </c>
      <c r="D15" s="28">
        <v>6</v>
      </c>
      <c r="E15" s="28">
        <v>30</v>
      </c>
    </row>
    <row r="16" spans="1:6" x14ac:dyDescent="0.25">
      <c r="A16" s="29" t="s">
        <v>142</v>
      </c>
      <c r="B16" s="30"/>
      <c r="C16" s="30"/>
      <c r="D16" s="30"/>
      <c r="E16" s="30"/>
      <c r="F16" s="17" t="s">
        <v>115</v>
      </c>
    </row>
    <row r="17" spans="1:6" x14ac:dyDescent="0.25">
      <c r="A17" s="18" t="s">
        <v>121</v>
      </c>
      <c r="B17" s="145" t="s">
        <v>124</v>
      </c>
      <c r="C17" s="128">
        <v>12</v>
      </c>
      <c r="D17" s="21">
        <v>3.2</v>
      </c>
      <c r="E17" s="21">
        <v>6.8</v>
      </c>
      <c r="F17" s="40"/>
    </row>
    <row r="18" spans="1:6" x14ac:dyDescent="0.25">
      <c r="A18" s="22" t="s">
        <v>120</v>
      </c>
      <c r="B18" s="131" t="s">
        <v>123</v>
      </c>
      <c r="C18" s="132">
        <v>24</v>
      </c>
      <c r="D18" s="11">
        <v>7</v>
      </c>
      <c r="E18" s="11">
        <v>18</v>
      </c>
      <c r="F18" s="50"/>
    </row>
    <row r="19" spans="1:6" x14ac:dyDescent="0.25">
      <c r="A19" s="146" t="s">
        <v>119</v>
      </c>
      <c r="B19" s="147" t="s">
        <v>122</v>
      </c>
      <c r="C19" s="129">
        <v>38</v>
      </c>
      <c r="D19" s="28">
        <v>2</v>
      </c>
      <c r="E19" s="28">
        <v>5</v>
      </c>
      <c r="F19" s="62"/>
    </row>
    <row r="20" spans="1:6" x14ac:dyDescent="0.25">
      <c r="A20" s="142" t="s">
        <v>56</v>
      </c>
      <c r="B20" s="143"/>
      <c r="C20" s="143"/>
      <c r="D20" s="144">
        <f>SUM(D13:D15)+SUM(D17:D19)</f>
        <v>30.2</v>
      </c>
      <c r="E20" s="144">
        <f>SUM(E13:E15)+SUM(E17:E19)</f>
        <v>77.8</v>
      </c>
    </row>
    <row r="21" spans="1:6" x14ac:dyDescent="0.25">
      <c r="A21" s="29" t="s">
        <v>57</v>
      </c>
      <c r="B21" s="15"/>
      <c r="C21" s="15"/>
      <c r="D21" s="31">
        <f>D20+D11</f>
        <v>44.9</v>
      </c>
      <c r="E21" s="31">
        <f>E20+E11</f>
        <v>96.8</v>
      </c>
    </row>
  </sheetData>
  <pageMargins left="0.7" right="0.7" top="1" bottom="0.75" header="0.3" footer="0.3"/>
  <pageSetup orientation="landscape" horizontalDpi="4294967295" verticalDpi="4294967295" r:id="rId1"/>
  <headerFooter>
    <oddHeader>&amp;C&amp;"Arial,Bold"&amp;20&amp;A</oddHeader>
    <oddFooter>&amp;L&amp;F&amp;R&amp;D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94865-42CF-472F-972B-96DFEA5237D1}">
  <sheetPr>
    <pageSetUpPr fitToPage="1"/>
  </sheetPr>
  <dimension ref="A1:O15"/>
  <sheetViews>
    <sheetView workbookViewId="0">
      <selection activeCell="F12" sqref="F12"/>
    </sheetView>
  </sheetViews>
  <sheetFormatPr defaultColWidth="9.140625" defaultRowHeight="15" x14ac:dyDescent="0.25"/>
  <cols>
    <col min="1" max="1" width="10.28515625" style="5" customWidth="1"/>
    <col min="2" max="2" width="26.7109375" style="5" customWidth="1"/>
    <col min="3" max="3" width="7.140625" style="5" customWidth="1"/>
    <col min="4" max="4" width="8.7109375" style="32" customWidth="1"/>
    <col min="5" max="5" width="8.7109375" style="5" customWidth="1"/>
    <col min="6" max="6" width="21" style="5" customWidth="1"/>
    <col min="7" max="14" width="8.7109375" style="5" customWidth="1"/>
    <col min="15" max="15" width="9.140625" style="5" customWidth="1"/>
    <col min="16" max="16" width="9.7109375" style="5" customWidth="1"/>
    <col min="17" max="16384" width="9.140625" style="5"/>
  </cols>
  <sheetData>
    <row r="1" spans="1:15" x14ac:dyDescent="0.25">
      <c r="A1" s="33" t="s">
        <v>58</v>
      </c>
      <c r="B1" s="34"/>
      <c r="C1" s="35" t="s">
        <v>19</v>
      </c>
      <c r="D1" s="36"/>
      <c r="E1" s="37"/>
      <c r="F1" s="8" t="s">
        <v>59</v>
      </c>
      <c r="G1" s="7" t="s">
        <v>60</v>
      </c>
      <c r="H1" s="7" t="s">
        <v>127</v>
      </c>
      <c r="I1" s="7" t="s">
        <v>61</v>
      </c>
      <c r="J1" s="7" t="s">
        <v>62</v>
      </c>
      <c r="K1" s="7" t="s">
        <v>63</v>
      </c>
      <c r="L1" s="7" t="s">
        <v>128</v>
      </c>
      <c r="M1" s="7" t="s">
        <v>129</v>
      </c>
      <c r="N1" s="7" t="s">
        <v>128</v>
      </c>
      <c r="O1" s="7" t="s">
        <v>128</v>
      </c>
    </row>
    <row r="2" spans="1:15" x14ac:dyDescent="0.25">
      <c r="A2" s="38" t="s">
        <v>64</v>
      </c>
      <c r="B2" s="1" t="s">
        <v>65</v>
      </c>
      <c r="C2" s="8" t="s">
        <v>48</v>
      </c>
      <c r="D2" s="7" t="s">
        <v>36</v>
      </c>
      <c r="E2" s="7" t="s">
        <v>37</v>
      </c>
      <c r="F2" s="39"/>
      <c r="G2" s="7"/>
      <c r="H2" s="7"/>
      <c r="I2" s="7"/>
      <c r="J2" s="7" t="s">
        <v>66</v>
      </c>
      <c r="K2" s="7" t="s">
        <v>67</v>
      </c>
      <c r="L2" s="7" t="s">
        <v>48</v>
      </c>
      <c r="M2" s="7" t="s">
        <v>48</v>
      </c>
      <c r="N2" s="7" t="s">
        <v>68</v>
      </c>
      <c r="O2" s="7" t="s">
        <v>69</v>
      </c>
    </row>
    <row r="3" spans="1:15" x14ac:dyDescent="0.25">
      <c r="A3" s="40" t="s">
        <v>70</v>
      </c>
      <c r="B3" s="120" t="s">
        <v>121</v>
      </c>
      <c r="C3" s="42">
        <v>12</v>
      </c>
      <c r="D3" s="43">
        <v>3.2</v>
      </c>
      <c r="E3" s="43">
        <v>6.8</v>
      </c>
      <c r="F3" s="124" t="s">
        <v>71</v>
      </c>
      <c r="G3" s="45">
        <f t="shared" ref="G3" si="0">D3/C3</f>
        <v>0.26666666666666666</v>
      </c>
      <c r="H3" s="45">
        <f>E3/C3</f>
        <v>0.56666666666666665</v>
      </c>
      <c r="I3" s="46">
        <v>18</v>
      </c>
      <c r="J3" s="46">
        <v>15</v>
      </c>
      <c r="K3" s="47">
        <f>_xlfn.XLOOKUP(I3,'Wire Data'!$A$2:$A$22,'Wire Data'!$C$2:$C$22)</f>
        <v>6.4</v>
      </c>
      <c r="L3" s="48">
        <f t="shared" ref="L3" si="1">G3*K3*2*J3/1000</f>
        <v>5.1200000000000002E-2</v>
      </c>
      <c r="M3" s="48">
        <f t="shared" ref="M3" si="2">H3*K3*2*J3/1000</f>
        <v>0.10880000000000001</v>
      </c>
      <c r="N3" s="48">
        <f t="shared" ref="N3" si="3">L3*G3</f>
        <v>1.3653333333333333E-2</v>
      </c>
      <c r="O3" s="49">
        <f t="shared" ref="O3" si="4">N3/D3</f>
        <v>4.266666666666666E-3</v>
      </c>
    </row>
    <row r="4" spans="1:15" x14ac:dyDescent="0.25">
      <c r="A4" s="50" t="s">
        <v>72</v>
      </c>
      <c r="B4" s="121"/>
      <c r="C4" s="52">
        <v>12</v>
      </c>
      <c r="D4" s="53"/>
      <c r="E4" s="53"/>
      <c r="F4" s="44" t="s">
        <v>71</v>
      </c>
      <c r="G4" s="54"/>
      <c r="H4" s="54"/>
      <c r="I4" s="55">
        <v>18</v>
      </c>
      <c r="J4" s="55">
        <v>15</v>
      </c>
      <c r="K4" s="56"/>
      <c r="L4" s="57"/>
      <c r="M4" s="57"/>
      <c r="N4" s="57"/>
      <c r="O4" s="58"/>
    </row>
    <row r="5" spans="1:15" x14ac:dyDescent="0.25">
      <c r="A5" s="59" t="s">
        <v>73</v>
      </c>
      <c r="B5" s="141"/>
      <c r="C5" s="60">
        <v>12</v>
      </c>
      <c r="D5" s="61"/>
      <c r="E5" s="61"/>
      <c r="F5" s="62"/>
      <c r="G5" s="63"/>
      <c r="H5" s="63"/>
      <c r="I5" s="60"/>
      <c r="J5" s="60"/>
      <c r="K5" s="63"/>
      <c r="L5" s="64"/>
      <c r="M5" s="64"/>
      <c r="N5" s="64"/>
      <c r="O5" s="65"/>
    </row>
    <row r="6" spans="1:15" x14ac:dyDescent="0.25">
      <c r="A6" s="66" t="s">
        <v>74</v>
      </c>
      <c r="B6" s="67"/>
      <c r="C6" s="68"/>
      <c r="D6" s="69">
        <f>SUM(D3:D5)</f>
        <v>3.2</v>
      </c>
      <c r="E6" s="69">
        <f>SUM(E3:E5)</f>
        <v>6.8</v>
      </c>
      <c r="F6" s="69"/>
      <c r="G6" s="69"/>
      <c r="H6" s="69"/>
      <c r="I6" s="69"/>
      <c r="J6" s="69"/>
      <c r="K6" s="69"/>
      <c r="L6" s="69"/>
      <c r="M6" s="69"/>
      <c r="N6" s="70">
        <f t="shared" ref="N6" si="5">SUM(N3:N5)</f>
        <v>1.3653333333333333E-2</v>
      </c>
      <c r="O6" s="71">
        <f>N6/D6</f>
        <v>4.266666666666666E-3</v>
      </c>
    </row>
    <row r="7" spans="1:15" x14ac:dyDescent="0.25">
      <c r="A7" s="72" t="s">
        <v>75</v>
      </c>
      <c r="B7" s="41" t="s">
        <v>50</v>
      </c>
      <c r="C7" s="42">
        <v>24</v>
      </c>
      <c r="D7" s="43">
        <v>4</v>
      </c>
      <c r="E7" s="43">
        <v>6</v>
      </c>
      <c r="F7" s="73" t="s">
        <v>71</v>
      </c>
      <c r="G7" s="45">
        <f t="shared" ref="G7:G8" si="6">D7/C7</f>
        <v>0.16666666666666666</v>
      </c>
      <c r="H7" s="45">
        <f t="shared" ref="H7:H9" si="7">E7/C7</f>
        <v>0.25</v>
      </c>
      <c r="I7" s="46">
        <v>18</v>
      </c>
      <c r="J7" s="42">
        <v>15</v>
      </c>
      <c r="K7" s="47">
        <f>_xlfn.XLOOKUP(I7,'Wire Data'!$A$2:$A$22,'Wire Data'!$C$2:$C$22)</f>
        <v>6.4</v>
      </c>
      <c r="L7" s="48">
        <f t="shared" ref="L7:L8" si="8">G7*K7*2*J7/1000</f>
        <v>3.2000000000000001E-2</v>
      </c>
      <c r="M7" s="48">
        <f t="shared" ref="M7:M9" si="9">H7*K7*2*J7/1000</f>
        <v>4.8000000000000001E-2</v>
      </c>
      <c r="N7" s="48">
        <f t="shared" ref="N7:N8" si="10">L7*G7</f>
        <v>5.3333333333333332E-3</v>
      </c>
      <c r="O7" s="49">
        <f t="shared" ref="O7:O8" si="11">N7/D7</f>
        <v>1.3333333333333333E-3</v>
      </c>
    </row>
    <row r="8" spans="1:15" x14ac:dyDescent="0.25">
      <c r="A8" s="74" t="s">
        <v>76</v>
      </c>
      <c r="B8" s="51" t="s">
        <v>52</v>
      </c>
      <c r="C8" s="52">
        <v>24</v>
      </c>
      <c r="D8" s="53">
        <v>8</v>
      </c>
      <c r="E8" s="53">
        <v>12</v>
      </c>
      <c r="F8" s="44" t="s">
        <v>71</v>
      </c>
      <c r="G8" s="54">
        <f t="shared" si="6"/>
        <v>0.33333333333333331</v>
      </c>
      <c r="H8" s="54">
        <f t="shared" si="7"/>
        <v>0.5</v>
      </c>
      <c r="I8" s="55">
        <v>18</v>
      </c>
      <c r="J8" s="55">
        <v>15</v>
      </c>
      <c r="K8" s="56">
        <f>_xlfn.XLOOKUP(I8,'Wire Data'!$A$2:$A$22,'Wire Data'!$C$2:$C$22)</f>
        <v>6.4</v>
      </c>
      <c r="L8" s="57">
        <f t="shared" si="8"/>
        <v>6.4000000000000001E-2</v>
      </c>
      <c r="M8" s="57">
        <f t="shared" si="9"/>
        <v>9.6000000000000002E-2</v>
      </c>
      <c r="N8" s="57">
        <f t="shared" si="10"/>
        <v>2.1333333333333333E-2</v>
      </c>
      <c r="O8" s="58">
        <f t="shared" si="11"/>
        <v>2.6666666666666666E-3</v>
      </c>
    </row>
    <row r="9" spans="1:15" x14ac:dyDescent="0.25">
      <c r="A9" s="75" t="s">
        <v>77</v>
      </c>
      <c r="B9" s="76" t="s">
        <v>126</v>
      </c>
      <c r="C9" s="60">
        <v>24</v>
      </c>
      <c r="D9" s="61">
        <v>7</v>
      </c>
      <c r="E9" s="61">
        <v>18</v>
      </c>
      <c r="F9" s="62" t="s">
        <v>118</v>
      </c>
      <c r="G9" s="63">
        <f t="shared" ref="G9" si="12">D9/C9</f>
        <v>0.29166666666666669</v>
      </c>
      <c r="H9" s="63">
        <f t="shared" si="7"/>
        <v>0.75</v>
      </c>
      <c r="I9" s="60">
        <v>18</v>
      </c>
      <c r="J9" s="60">
        <v>15</v>
      </c>
      <c r="K9" s="63">
        <f>_xlfn.XLOOKUP(I9,'Wire Data'!$A$2:$A$22,'Wire Data'!$C$2:$C$22)</f>
        <v>6.4</v>
      </c>
      <c r="L9" s="64">
        <f t="shared" ref="L9" si="13">G9*K9*2*J9/1000</f>
        <v>5.6000000000000008E-2</v>
      </c>
      <c r="M9" s="64">
        <f t="shared" si="9"/>
        <v>0.14400000000000002</v>
      </c>
      <c r="N9" s="64">
        <f t="shared" ref="N9" si="14">L9*G9</f>
        <v>1.6333333333333335E-2</v>
      </c>
      <c r="O9" s="65">
        <f t="shared" ref="O9" si="15">N9/D9</f>
        <v>2.3333333333333335E-3</v>
      </c>
    </row>
    <row r="10" spans="1:15" x14ac:dyDescent="0.25">
      <c r="A10" s="66" t="s">
        <v>78</v>
      </c>
      <c r="B10" s="67"/>
      <c r="C10" s="68"/>
      <c r="D10" s="69">
        <f>SUM(D7:D9)</f>
        <v>19</v>
      </c>
      <c r="E10" s="69">
        <f>SUM(E7:E9)</f>
        <v>36</v>
      </c>
      <c r="F10" s="69"/>
      <c r="G10" s="69"/>
      <c r="H10" s="69"/>
      <c r="I10" s="69"/>
      <c r="J10" s="69"/>
      <c r="K10" s="69"/>
      <c r="L10" s="69"/>
      <c r="M10" s="69"/>
      <c r="N10" s="70">
        <f t="shared" ref="N10" si="16">SUM(N7:N9)</f>
        <v>4.2999999999999997E-2</v>
      </c>
      <c r="O10" s="71">
        <f>N10/D10</f>
        <v>2.2631578947368419E-3</v>
      </c>
    </row>
    <row r="11" spans="1:15" x14ac:dyDescent="0.25">
      <c r="A11" s="72" t="s">
        <v>79</v>
      </c>
      <c r="B11" s="41" t="s">
        <v>80</v>
      </c>
      <c r="C11" s="42">
        <v>38</v>
      </c>
      <c r="D11" s="43">
        <v>6</v>
      </c>
      <c r="E11" s="43">
        <v>30</v>
      </c>
      <c r="F11" s="73" t="s">
        <v>71</v>
      </c>
      <c r="G11" s="45">
        <f t="shared" ref="G11:G13" si="17">D11/C11</f>
        <v>0.15789473684210525</v>
      </c>
      <c r="H11" s="45">
        <f t="shared" ref="H11:H13" si="18">E11/C11</f>
        <v>0.78947368421052633</v>
      </c>
      <c r="I11" s="46">
        <v>18</v>
      </c>
      <c r="J11" s="42">
        <v>15</v>
      </c>
      <c r="K11" s="47">
        <f>_xlfn.XLOOKUP(I11,'Wire Data'!$A$2:$A$22,'Wire Data'!$C$2:$C$22)</f>
        <v>6.4</v>
      </c>
      <c r="L11" s="48">
        <f t="shared" ref="L11" si="19">G11*K11*2*J11/1000</f>
        <v>3.0315789473684213E-2</v>
      </c>
      <c r="M11" s="48">
        <f t="shared" ref="M11" si="20">H11*K11*2*J11/1000</f>
        <v>0.15157894736842106</v>
      </c>
      <c r="N11" s="48">
        <f t="shared" ref="N11" si="21">L11*G11</f>
        <v>4.7867036011080329E-3</v>
      </c>
      <c r="O11" s="49">
        <f t="shared" ref="O11" si="22">N11/D11</f>
        <v>7.9778393351800545E-4</v>
      </c>
    </row>
    <row r="12" spans="1:15" x14ac:dyDescent="0.25">
      <c r="A12" s="74" t="s">
        <v>81</v>
      </c>
      <c r="B12" s="121" t="s">
        <v>143</v>
      </c>
      <c r="C12" s="52">
        <v>38</v>
      </c>
      <c r="D12" s="53"/>
      <c r="E12" s="53"/>
      <c r="F12" s="44" t="s">
        <v>71</v>
      </c>
      <c r="G12" s="54"/>
      <c r="H12" s="54"/>
      <c r="I12" s="55">
        <v>18</v>
      </c>
      <c r="J12" s="55">
        <v>15</v>
      </c>
      <c r="K12" s="56"/>
      <c r="L12" s="57"/>
      <c r="M12" s="57"/>
      <c r="N12" s="57"/>
      <c r="O12" s="58"/>
    </row>
    <row r="13" spans="1:15" x14ac:dyDescent="0.25">
      <c r="A13" s="75" t="s">
        <v>82</v>
      </c>
      <c r="B13" s="130" t="s">
        <v>125</v>
      </c>
      <c r="C13" s="60">
        <v>38</v>
      </c>
      <c r="D13" s="61">
        <v>4</v>
      </c>
      <c r="E13" s="61">
        <v>70</v>
      </c>
      <c r="F13" s="124" t="s">
        <v>118</v>
      </c>
      <c r="G13" s="54">
        <f t="shared" si="17"/>
        <v>0.10526315789473684</v>
      </c>
      <c r="H13" s="54">
        <f t="shared" si="18"/>
        <v>1.8421052631578947</v>
      </c>
      <c r="I13" s="60">
        <v>18</v>
      </c>
      <c r="J13" s="60">
        <v>15</v>
      </c>
      <c r="K13" s="63">
        <f>_xlfn.XLOOKUP(I13,'Wire Data'!$A$2:$A$22,'Wire Data'!$C$2:$C$22)</f>
        <v>6.4</v>
      </c>
      <c r="L13" s="64">
        <f t="shared" ref="L13" si="23">G13*K13*2*J13/1000</f>
        <v>2.0210526315789474E-2</v>
      </c>
      <c r="M13" s="64">
        <f>H13*K13*2*J13/1000</f>
        <v>0.35368421052631582</v>
      </c>
      <c r="N13" s="64">
        <f t="shared" ref="N13" si="24">L13*G13</f>
        <v>2.1274238227146814E-3</v>
      </c>
      <c r="O13" s="65">
        <f t="shared" ref="O13" si="25">N13/D13</f>
        <v>5.3185595567867034E-4</v>
      </c>
    </row>
    <row r="14" spans="1:15" x14ac:dyDescent="0.25">
      <c r="A14" s="66" t="s">
        <v>83</v>
      </c>
      <c r="B14" s="67"/>
      <c r="C14" s="68"/>
      <c r="D14" s="69">
        <f>SUM(D11:D13)</f>
        <v>10</v>
      </c>
      <c r="E14" s="69">
        <f>SUM(E11:E13)</f>
        <v>100</v>
      </c>
      <c r="F14" s="69"/>
      <c r="G14" s="69"/>
      <c r="H14" s="69"/>
      <c r="I14" s="69"/>
      <c r="J14" s="69"/>
      <c r="K14" s="69"/>
      <c r="L14" s="69"/>
      <c r="M14" s="69"/>
      <c r="N14" s="70">
        <f t="shared" ref="N14" si="26">SUM(N11:N13)</f>
        <v>6.9141274238227138E-3</v>
      </c>
      <c r="O14" s="71">
        <f>N14/D14</f>
        <v>6.9141274238227141E-4</v>
      </c>
    </row>
    <row r="15" spans="1:15" x14ac:dyDescent="0.25">
      <c r="A15" s="66" t="s">
        <v>57</v>
      </c>
      <c r="B15" s="67"/>
      <c r="C15" s="68"/>
      <c r="D15" s="69">
        <f>D14+D10+D6</f>
        <v>32.200000000000003</v>
      </c>
      <c r="E15" s="69">
        <f>E14+E10+E6</f>
        <v>142.80000000000001</v>
      </c>
    </row>
  </sheetData>
  <pageMargins left="0.7" right="0.7" top="1" bottom="0.75" header="0.3" footer="0.3"/>
  <pageSetup scale="87" orientation="landscape" horizontalDpi="4294967295" verticalDpi="4294967295" r:id="rId1"/>
  <headerFooter>
    <oddHeader>&amp;C&amp;"Arial,Bold"&amp;20&amp;A</oddHeader>
    <oddFooter>&amp;L&amp;F&amp;R&amp;D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9A011-8EDE-4E20-90E2-5942C65F11A9}">
  <sheetPr>
    <pageSetUpPr fitToPage="1"/>
  </sheetPr>
  <dimension ref="A1:M21"/>
  <sheetViews>
    <sheetView workbookViewId="0">
      <selection activeCell="H5" sqref="H5"/>
    </sheetView>
  </sheetViews>
  <sheetFormatPr defaultColWidth="9.140625" defaultRowHeight="15" x14ac:dyDescent="0.25"/>
  <cols>
    <col min="1" max="1" width="7.85546875" style="5" customWidth="1"/>
    <col min="2" max="2" width="27.5703125" style="5" customWidth="1"/>
    <col min="3" max="3" width="8.85546875" style="5" customWidth="1"/>
    <col min="4" max="4" width="8.7109375" style="5" customWidth="1"/>
    <col min="5" max="5" width="3.140625" style="32" customWidth="1"/>
    <col min="6" max="6" width="10.5703125" style="5" customWidth="1"/>
    <col min="7" max="7" width="19.7109375" style="5" bestFit="1" customWidth="1"/>
    <col min="8" max="8" width="16.5703125" style="5" customWidth="1"/>
    <col min="9" max="13" width="8.7109375" style="5" customWidth="1"/>
    <col min="14" max="14" width="9.7109375" style="5" customWidth="1"/>
    <col min="15" max="16384" width="9.140625" style="5"/>
  </cols>
  <sheetData>
    <row r="1" spans="1:13" x14ac:dyDescent="0.25">
      <c r="A1" s="1" t="s">
        <v>84</v>
      </c>
      <c r="B1" s="2"/>
      <c r="C1" s="77"/>
      <c r="D1" s="6"/>
      <c r="F1" s="1" t="s">
        <v>85</v>
      </c>
      <c r="G1" s="2"/>
      <c r="H1" s="78"/>
    </row>
    <row r="2" spans="1:13" s="32" customFormat="1" x14ac:dyDescent="0.25">
      <c r="A2" s="29" t="s">
        <v>86</v>
      </c>
      <c r="B2" s="79"/>
      <c r="C2" s="80" t="s">
        <v>49</v>
      </c>
      <c r="D2" s="80" t="s">
        <v>87</v>
      </c>
      <c r="F2" s="29" t="s">
        <v>88</v>
      </c>
      <c r="G2" s="79"/>
      <c r="H2" s="81" t="s">
        <v>49</v>
      </c>
      <c r="J2" s="5"/>
      <c r="K2" s="5"/>
      <c r="L2" s="5"/>
      <c r="M2" s="5"/>
    </row>
    <row r="3" spans="1:13" s="32" customFormat="1" x14ac:dyDescent="0.25">
      <c r="A3" s="40" t="s">
        <v>89</v>
      </c>
      <c r="B3" s="148"/>
      <c r="C3" s="84" t="s">
        <v>70</v>
      </c>
      <c r="D3" s="85">
        <f>_xlfn.XLOOKUP(C3,'Main Enclosure'!$A$3:$A$13,'Main Enclosure'!$C$3:$C$13)</f>
        <v>12</v>
      </c>
      <c r="F3" s="40" t="s">
        <v>89</v>
      </c>
      <c r="G3" s="83"/>
      <c r="H3" s="84" t="s">
        <v>79</v>
      </c>
      <c r="J3" s="5"/>
      <c r="K3" s="5"/>
      <c r="L3" s="5"/>
      <c r="M3" s="5"/>
    </row>
    <row r="4" spans="1:13" s="32" customFormat="1" x14ac:dyDescent="0.25">
      <c r="A4" s="50" t="s">
        <v>90</v>
      </c>
      <c r="B4" s="149"/>
      <c r="C4" s="150" t="s">
        <v>72</v>
      </c>
      <c r="D4" s="85">
        <f>_xlfn.XLOOKUP(C4,'Main Enclosure'!$A$3:$A$13,'Main Enclosure'!$C$3:$C$13)</f>
        <v>12</v>
      </c>
      <c r="F4" s="50" t="s">
        <v>90</v>
      </c>
      <c r="G4" s="86"/>
      <c r="H4" s="167" t="s">
        <v>81</v>
      </c>
      <c r="J4" s="5"/>
      <c r="K4" s="5"/>
      <c r="L4" s="5"/>
      <c r="M4" s="5"/>
    </row>
    <row r="5" spans="1:13" s="32" customFormat="1" x14ac:dyDescent="0.25">
      <c r="A5" s="50" t="s">
        <v>91</v>
      </c>
      <c r="B5" s="149"/>
      <c r="C5" s="167" t="s">
        <v>82</v>
      </c>
      <c r="D5" s="85">
        <f>_xlfn.XLOOKUP(C5,'Main Enclosure'!$A$3:$A$13,'Main Enclosure'!$C$3:$C$13)</f>
        <v>38</v>
      </c>
      <c r="F5" s="62" t="s">
        <v>91</v>
      </c>
      <c r="G5" s="86"/>
      <c r="H5" s="127"/>
      <c r="J5" s="5"/>
      <c r="K5" s="5"/>
      <c r="L5" s="5"/>
      <c r="M5" s="5"/>
    </row>
    <row r="6" spans="1:13" s="32" customFormat="1" x14ac:dyDescent="0.25">
      <c r="A6" s="62" t="s">
        <v>92</v>
      </c>
      <c r="B6" s="151"/>
      <c r="C6" s="150"/>
      <c r="D6" s="85" t="e">
        <f>_xlfn.XLOOKUP(C6,'Main Enclosure'!$A$3:$A$13,'Main Enclosure'!$C$3:$C$13)</f>
        <v>#N/A</v>
      </c>
      <c r="F6" s="87" t="s">
        <v>93</v>
      </c>
      <c r="G6" s="29" t="s">
        <v>94</v>
      </c>
      <c r="H6" s="80" t="s">
        <v>95</v>
      </c>
      <c r="J6" s="5"/>
      <c r="K6" s="5"/>
      <c r="L6" s="5"/>
      <c r="M6" s="5"/>
    </row>
    <row r="7" spans="1:13" s="32" customFormat="1" x14ac:dyDescent="0.25">
      <c r="A7" s="87" t="s">
        <v>64</v>
      </c>
      <c r="B7" s="29" t="s">
        <v>96</v>
      </c>
      <c r="C7" s="80" t="s">
        <v>97</v>
      </c>
      <c r="D7" s="80" t="s">
        <v>95</v>
      </c>
      <c r="F7" s="40" t="s">
        <v>98</v>
      </c>
      <c r="G7" s="82" t="s">
        <v>54</v>
      </c>
      <c r="H7" s="88" t="s">
        <v>99</v>
      </c>
      <c r="J7" s="5"/>
      <c r="K7" s="5"/>
      <c r="L7" s="5"/>
      <c r="M7" s="5"/>
    </row>
    <row r="8" spans="1:13" s="32" customFormat="1" x14ac:dyDescent="0.25">
      <c r="A8" s="50" t="s">
        <v>100</v>
      </c>
      <c r="B8" s="120" t="s">
        <v>121</v>
      </c>
      <c r="C8" s="150" t="s">
        <v>89</v>
      </c>
      <c r="D8" s="85">
        <f>_xlfn.XLOOKUP(C8,$A$3:$A$6,$D$3:$D$6)</f>
        <v>12</v>
      </c>
      <c r="F8" s="50" t="s">
        <v>101</v>
      </c>
      <c r="G8" s="122"/>
      <c r="H8" s="123"/>
      <c r="J8" s="5"/>
      <c r="K8" s="5"/>
      <c r="L8" s="5"/>
      <c r="M8" s="5"/>
    </row>
    <row r="9" spans="1:13" s="32" customFormat="1" x14ac:dyDescent="0.25">
      <c r="A9" s="50" t="s">
        <v>102</v>
      </c>
      <c r="B9" s="122"/>
      <c r="C9" s="150"/>
      <c r="D9" s="85" t="e">
        <f>_xlfn.XLOOKUP(C9,$A$3:$A$6,$D$3:$D$6)</f>
        <v>#N/A</v>
      </c>
      <c r="F9" s="62" t="s">
        <v>103</v>
      </c>
      <c r="G9" s="133"/>
      <c r="H9" s="134"/>
      <c r="J9" s="5"/>
      <c r="K9" s="5"/>
      <c r="L9" s="5"/>
      <c r="M9" s="5"/>
    </row>
    <row r="10" spans="1:13" s="32" customFormat="1" x14ac:dyDescent="0.25">
      <c r="A10" s="50" t="s">
        <v>104</v>
      </c>
      <c r="B10" s="89" t="s">
        <v>125</v>
      </c>
      <c r="C10" s="150" t="s">
        <v>91</v>
      </c>
      <c r="D10" s="85">
        <f>_xlfn.XLOOKUP(C10,$A$3:$A$6,$D$3:$D$6)</f>
        <v>38</v>
      </c>
      <c r="F10" s="5"/>
      <c r="G10" s="5"/>
      <c r="H10" s="5"/>
      <c r="I10" s="5"/>
      <c r="J10" s="5"/>
      <c r="K10" s="5"/>
      <c r="L10" s="5"/>
      <c r="M10" s="5"/>
    </row>
    <row r="11" spans="1:13" s="32" customFormat="1" x14ac:dyDescent="0.25">
      <c r="A11" s="50" t="s">
        <v>105</v>
      </c>
      <c r="B11" s="152"/>
      <c r="C11" s="150"/>
      <c r="D11" s="85" t="e">
        <f>_xlfn.XLOOKUP(C11,$A$3:$A$6,$D$3:$D$6)</f>
        <v>#N/A</v>
      </c>
      <c r="F11" s="5"/>
      <c r="G11" s="5"/>
      <c r="H11" s="5"/>
      <c r="I11" s="5"/>
      <c r="J11" s="5"/>
      <c r="K11" s="5"/>
      <c r="L11" s="5"/>
      <c r="M11" s="5"/>
    </row>
    <row r="12" spans="1:13" s="32" customFormat="1" x14ac:dyDescent="0.25">
      <c r="A12" s="62" t="s">
        <v>106</v>
      </c>
      <c r="B12" s="153"/>
      <c r="C12" s="154"/>
      <c r="D12" s="90" t="e">
        <f>_xlfn.XLOOKUP(C12,$A$3:$A$6,$D$3:$D$6)</f>
        <v>#N/A</v>
      </c>
      <c r="F12" s="5"/>
      <c r="G12" s="5"/>
      <c r="H12" s="5"/>
      <c r="I12" s="5"/>
      <c r="J12" s="5"/>
      <c r="K12" s="5"/>
      <c r="L12" s="5"/>
      <c r="M12" s="5"/>
    </row>
    <row r="13" spans="1:13" s="32" customFormat="1" x14ac:dyDescent="0.25">
      <c r="F13" s="5"/>
      <c r="G13" s="5"/>
      <c r="H13" s="5"/>
      <c r="I13" s="5"/>
      <c r="J13" s="5"/>
      <c r="K13" s="5"/>
      <c r="L13" s="5"/>
      <c r="M13" s="5"/>
    </row>
    <row r="14" spans="1:13" s="32" customFormat="1" x14ac:dyDescent="0.25">
      <c r="F14" s="5"/>
      <c r="G14" s="5"/>
      <c r="H14" s="5"/>
      <c r="I14" s="5"/>
      <c r="J14" s="5"/>
      <c r="K14" s="5"/>
      <c r="L14" s="5"/>
      <c r="M14" s="5"/>
    </row>
    <row r="15" spans="1:13" s="32" customFormat="1" x14ac:dyDescent="0.25">
      <c r="F15" s="5"/>
      <c r="G15" s="5"/>
      <c r="H15" s="5"/>
      <c r="I15" s="5"/>
      <c r="J15" s="5"/>
      <c r="K15" s="5"/>
      <c r="L15" s="5"/>
      <c r="M15" s="5"/>
    </row>
    <row r="16" spans="1:13" s="32" customFormat="1" x14ac:dyDescent="0.25">
      <c r="F16" s="5"/>
      <c r="G16" s="5"/>
      <c r="H16" s="5"/>
      <c r="I16" s="5"/>
      <c r="J16" s="5"/>
      <c r="K16" s="5"/>
      <c r="L16" s="5"/>
      <c r="M16" s="5"/>
    </row>
    <row r="17" spans="2:13" s="32" customFormat="1" x14ac:dyDescent="0.25">
      <c r="F17" s="5"/>
      <c r="G17" s="5"/>
      <c r="H17" s="5"/>
      <c r="I17" s="5"/>
      <c r="J17" s="5"/>
      <c r="K17" s="5"/>
      <c r="L17" s="5"/>
      <c r="M17" s="5"/>
    </row>
    <row r="18" spans="2:13" x14ac:dyDescent="0.25">
      <c r="B18" s="32"/>
      <c r="C18" s="32"/>
      <c r="D18" s="32"/>
    </row>
    <row r="19" spans="2:13" x14ac:dyDescent="0.25">
      <c r="B19" s="32"/>
      <c r="C19" s="32"/>
      <c r="D19" s="32"/>
    </row>
    <row r="20" spans="2:13" x14ac:dyDescent="0.25">
      <c r="B20" s="32"/>
      <c r="C20" s="32"/>
      <c r="D20" s="32"/>
    </row>
    <row r="21" spans="2:13" x14ac:dyDescent="0.25">
      <c r="B21" s="32"/>
      <c r="C21" s="32"/>
      <c r="D21" s="32"/>
    </row>
  </sheetData>
  <phoneticPr fontId="24" type="noConversion"/>
  <pageMargins left="0.7" right="0.7" top="1" bottom="0.75" header="0.3" footer="0.3"/>
  <pageSetup orientation="landscape" horizontalDpi="4294967295" verticalDpi="4294967295" r:id="rId1"/>
  <headerFooter>
    <oddHeader>&amp;C&amp;"Arial,Bold"&amp;20&amp;A</oddHeader>
    <oddFooter>&amp;L&amp;F&amp;R&amp;D 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D7235-B4E8-4187-A9AB-DBDDA583209D}">
  <sheetPr>
    <pageSetUpPr fitToPage="1"/>
  </sheetPr>
  <dimension ref="A1:C22"/>
  <sheetViews>
    <sheetView workbookViewId="0"/>
  </sheetViews>
  <sheetFormatPr defaultColWidth="9.140625" defaultRowHeight="12.75" x14ac:dyDescent="0.2"/>
  <cols>
    <col min="1" max="1" width="11.140625" style="93" customWidth="1"/>
    <col min="2" max="2" width="9.42578125" style="111" customWidth="1"/>
    <col min="3" max="3" width="7.7109375" style="93" customWidth="1"/>
    <col min="4" max="16384" width="9.140625" style="93"/>
  </cols>
  <sheetData>
    <row r="1" spans="1:3" ht="12.75" customHeight="1" x14ac:dyDescent="0.2">
      <c r="A1" s="91" t="s">
        <v>61</v>
      </c>
      <c r="B1" s="92" t="s">
        <v>107</v>
      </c>
      <c r="C1" s="92" t="s">
        <v>108</v>
      </c>
    </row>
    <row r="2" spans="1:3" x14ac:dyDescent="0.2">
      <c r="A2" s="94" t="s">
        <v>109</v>
      </c>
      <c r="B2" s="46">
        <v>120</v>
      </c>
      <c r="C2" s="95">
        <v>4.9000000000000002E-2</v>
      </c>
    </row>
    <row r="3" spans="1:3" x14ac:dyDescent="0.2">
      <c r="A3" s="96" t="s">
        <v>110</v>
      </c>
      <c r="B3" s="97">
        <v>95</v>
      </c>
      <c r="C3" s="98">
        <v>6.2E-2</v>
      </c>
    </row>
    <row r="4" spans="1:3" x14ac:dyDescent="0.2">
      <c r="A4" s="96" t="s">
        <v>111</v>
      </c>
      <c r="B4" s="97">
        <v>70</v>
      </c>
      <c r="C4" s="98">
        <v>7.9000000000000001E-2</v>
      </c>
    </row>
    <row r="5" spans="1:3" x14ac:dyDescent="0.2">
      <c r="A5" s="96" t="s">
        <v>112</v>
      </c>
      <c r="B5" s="97">
        <v>55</v>
      </c>
      <c r="C5" s="98">
        <v>0.1</v>
      </c>
    </row>
    <row r="6" spans="1:3" x14ac:dyDescent="0.2">
      <c r="A6" s="99">
        <v>1</v>
      </c>
      <c r="B6" s="97">
        <v>50</v>
      </c>
      <c r="C6" s="98">
        <v>0.126</v>
      </c>
    </row>
    <row r="7" spans="1:3" x14ac:dyDescent="0.2">
      <c r="A7" s="99">
        <v>2</v>
      </c>
      <c r="B7" s="97">
        <v>35</v>
      </c>
      <c r="C7" s="98">
        <v>0.159</v>
      </c>
    </row>
    <row r="8" spans="1:3" x14ac:dyDescent="0.2">
      <c r="A8" s="99">
        <v>4</v>
      </c>
      <c r="B8" s="97">
        <v>25</v>
      </c>
      <c r="C8" s="98">
        <v>0.253</v>
      </c>
    </row>
    <row r="9" spans="1:3" x14ac:dyDescent="0.2">
      <c r="A9" s="100">
        <v>6</v>
      </c>
      <c r="B9" s="101">
        <v>16</v>
      </c>
      <c r="C9" s="102">
        <v>0.4</v>
      </c>
    </row>
    <row r="10" spans="1:3" x14ac:dyDescent="0.2">
      <c r="A10" s="100">
        <v>8</v>
      </c>
      <c r="B10" s="97">
        <v>10</v>
      </c>
      <c r="C10" s="98">
        <v>0.63</v>
      </c>
    </row>
    <row r="11" spans="1:3" x14ac:dyDescent="0.2">
      <c r="A11" s="99">
        <v>10</v>
      </c>
      <c r="B11" s="97">
        <v>6</v>
      </c>
      <c r="C11" s="98">
        <v>1</v>
      </c>
    </row>
    <row r="12" spans="1:3" x14ac:dyDescent="0.2">
      <c r="A12" s="99">
        <v>12</v>
      </c>
      <c r="B12" s="97">
        <v>4</v>
      </c>
      <c r="C12" s="98">
        <v>1.6</v>
      </c>
    </row>
    <row r="13" spans="1:3" x14ac:dyDescent="0.2">
      <c r="A13" s="99">
        <v>14</v>
      </c>
      <c r="B13" s="103">
        <v>2.5</v>
      </c>
      <c r="C13" s="98">
        <v>2.5</v>
      </c>
    </row>
    <row r="14" spans="1:3" x14ac:dyDescent="0.2">
      <c r="A14" s="99">
        <v>16</v>
      </c>
      <c r="B14" s="103">
        <v>1.5</v>
      </c>
      <c r="C14" s="98">
        <v>4</v>
      </c>
    </row>
    <row r="15" spans="1:3" x14ac:dyDescent="0.2">
      <c r="A15" s="100">
        <v>18</v>
      </c>
      <c r="B15" s="104">
        <v>0.75</v>
      </c>
      <c r="C15" s="102">
        <v>6.4</v>
      </c>
    </row>
    <row r="16" spans="1:3" x14ac:dyDescent="0.2">
      <c r="A16" s="100">
        <v>20</v>
      </c>
      <c r="B16" s="104">
        <v>0.5</v>
      </c>
      <c r="C16" s="104">
        <v>10.1</v>
      </c>
    </row>
    <row r="17" spans="1:3" x14ac:dyDescent="0.2">
      <c r="A17" s="100">
        <v>22</v>
      </c>
      <c r="B17" s="104">
        <v>0.34</v>
      </c>
      <c r="C17" s="104">
        <v>16.100000000000001</v>
      </c>
    </row>
    <row r="18" spans="1:3" x14ac:dyDescent="0.2">
      <c r="A18" s="105">
        <v>24</v>
      </c>
      <c r="B18" s="106">
        <v>0.25</v>
      </c>
      <c r="C18" s="104">
        <v>25.7</v>
      </c>
    </row>
    <row r="19" spans="1:3" x14ac:dyDescent="0.2">
      <c r="A19" s="105">
        <v>26</v>
      </c>
      <c r="B19" s="106">
        <v>0.14000000000000001</v>
      </c>
      <c r="C19" s="104">
        <v>40.799999999999997</v>
      </c>
    </row>
    <row r="20" spans="1:3" x14ac:dyDescent="0.2">
      <c r="A20" s="105">
        <v>28</v>
      </c>
      <c r="B20" s="106">
        <v>0.08</v>
      </c>
      <c r="C20" s="104">
        <v>64.900000000000006</v>
      </c>
    </row>
    <row r="21" spans="1:3" x14ac:dyDescent="0.2">
      <c r="A21" s="105">
        <v>30</v>
      </c>
      <c r="B21" s="106">
        <v>0.05</v>
      </c>
      <c r="C21" s="107">
        <v>103.2</v>
      </c>
    </row>
    <row r="22" spans="1:3" x14ac:dyDescent="0.2">
      <c r="A22" s="108">
        <v>32</v>
      </c>
      <c r="B22" s="109">
        <v>3.2000000000000001E-2</v>
      </c>
      <c r="C22" s="110">
        <v>164.1</v>
      </c>
    </row>
  </sheetData>
  <printOptions horizontalCentered="1" gridLines="1"/>
  <pageMargins left="0.75" right="0.75" top="1" bottom="1" header="0.5" footer="0.5"/>
  <pageSetup orientation="portrait" horizontalDpi="4294967295" verticalDpi="4294967295" r:id="rId1"/>
  <headerFooter alignWithMargins="0">
    <oddHeader>&amp;C&amp;"Arial,Bold"&amp;16&amp;F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72f104-5449-47f2-bba6-d965ba4cb369">
      <Terms xmlns="http://schemas.microsoft.com/office/infopath/2007/PartnerControls"/>
    </lcf76f155ced4ddcb4097134ff3c332f>
    <TaxCatchAll xmlns="658fd768-bfe3-4644-bc9b-442c8b368c29" xsi:nil="true"/>
  </documentManagement>
</p:properties>
</file>

<file path=customXml/item3.xml><?xml version="1.0" encoding="utf-8"?><ct:contentTypeSchema ct:_="" ma:_="" ma:contentTypeName="Document" ma:contentTypeID="0x01010029828EA36F71F84A80951E2499941C0F" ma:contentTypeVersion="16" ma:contentTypeDescription="Create a new document." ma:contentTypeScope="" ma:versionID="52588f28fb26c365045618ee21815254" xmlns:ct="http://schemas.microsoft.com/office/2006/metadata/contentType" xmlns:ma="http://schemas.microsoft.com/office/2006/metadata/properties/metaAttributes">
<xsd:schema targetNamespace="http://schemas.microsoft.com/office/2006/metadata/properties" ma:[Restricted]="true" ma:fieldsID="26ffe3236f428c99ac360fe49a5694ee" ns2:_="" ns3:_="" xmlns:xsd="http://www.w3.org/2001/XMLSchema" xmlns:xs="http://www.w3.org/2001/XMLSchema" xmlns:p="http://schemas.microsoft.com/office/2006/metadata/properties" xmlns:ns2="0b72f104-5449-47f2-bba6-d965ba4cb369" xmlns:ns3="658fd768-bfe3-4644-bc9b-442c8b368c29">
<xsd:import namespace="0b72f104-5449-47f2-bba6-d965ba4cb369"/>
<xsd:import namespace="658fd768-bfe3-4644-bc9b-442c8b368c29"/>
<xsd:element name="properties">
<xsd:complexType>
<xsd:sequence>
<xsd:element name="documentManagement">
<xsd:complexType>
<xsd:all>
<xsd:element ref="ns2:MediaServiceMetadata" minOccurs="0"/>
<xsd:element ref="ns2:MediaServiceFastMetadata" minOccurs="0"/>
<xsd:element ref="ns2:MediaServiceAutoTags" minOccurs="0"/>
<xsd:element ref="ns2:MediaServiceOCR" minOccurs="0"/>
<xsd:element ref="ns2:MediaServiceGenerationTime" minOccurs="0"/>
<xsd:element ref="ns2:MediaServiceEventHashCode" minOccurs="0"/>
<xsd:element ref="ns2:MediaServiceAutoKeyPoints" minOccurs="0"/>
<xsd:element ref="ns2:MediaServiceKeyPoints" minOccurs="0"/>
<xsd:element ref="ns2:MediaServiceDateTaken" minOccurs="0"/>
<xsd:element ref="ns2:MediaServiceLocation" minOccurs="0"/>
<xsd:element ref="ns3:SharedWithUsers" minOccurs="0"/>
<xsd:element ref="ns3:SharedWithDetails" minOccurs="0"/>
<xsd:element ref="ns2:MediaLengthInSeconds" minOccurs="0"/>
<xsd:element ref="ns2:lcf76f155ced4ddcb4097134ff3c332f" minOccurs="0"/>
<xsd:element ref="ns3:TaxCatchAll" minOccurs="0"/>
</xsd:all>
</xsd:complexType>
</xsd:element>
</xsd:sequence>
</xsd:complexType>
</xsd:element>
</xsd:schema>
<xsd:schema targetNamespace="0b72f104-5449-47f2-bba6-d965ba4cb369" elementFormDefault="qualified" xmlns:xsd="http://www.w3.org/2001/XMLSchema" xmlns:xs="http://www.w3.org/2001/XMLSchema" xmlns:dms="http://schemas.microsoft.com/office/2006/documentManagement/types" xmlns:pc="http://schemas.microsoft.com/office/infopath/2007/PartnerControls">
<xsd:import namespace="http://schemas.microsoft.com/office/2006/documentManagement/types"/>
<xsd:import namespace="http://schemas.microsoft.com/office/infopath/2007/PartnerControls"/>
<xsd:element name="MediaServiceMetadata" ma:index="8" nillable="true" ma:displayName="MediaServiceMetadata" ma:hidden="true" ma:internalName="MediaServiceMetadata" ma:readOnly="true">
<xsd:simpleType>
<xsd:restriction base="dms:Note"/>
</xsd:simpleType>
</xsd:element>
<xsd:element name="MediaServiceFastMetadata" ma:index="9" nillable="true" ma:displayName="MediaServiceFastMetadata" ma:hidden="true" ma:internalName="MediaServiceFastMetadata" ma:readOnly="true">
<xsd:simpleType>
<xsd:restriction base="dms:Note"/>
</xsd:simpleType>
</xsd:element>
<xsd:element name="MediaServiceAutoTags" ma:index="10" nillable="true" ma:displayName="Tags" ma:internalName="MediaServiceAutoTags" ma:readOnly="true">
<xsd:simpleType>
<xsd:restriction base="dms:Text"/>
</xsd:simpleType>
</xsd:element>
<xsd:element name="MediaServiceOCR" ma:index="11" nillable="true" ma:displayName="Extracted Text" ma:internalName="MediaServiceOCR" ma:readOnly="true">
<xsd:simpleType>
<xsd:restriction base="dms:Note">
<xsd:maxLength value="255"/>
</xsd:restriction>
</xsd:simpleType>
</xsd:element>
<xsd:element name="MediaServiceGenerationTime" ma:index="12" nillable="true" ma:displayName="MediaServiceGenerationTime" ma:hidden="true" ma:internalName="MediaServiceGenerationTime" ma:readOnly="true">
<xsd:simpleType>
<xsd:restriction base="dms:Text"/>
</xsd:simpleType>
</xsd:element>
<xsd:element name="MediaServiceEventHashCode" ma:index="13" nillable="true" ma:displayName="MediaServiceEventHashCode" ma:hidden="true" ma:internalName="MediaServiceEventHashCode" ma:readOnly="true">
<xsd:simpleType>
<xsd:restriction base="dms:Text"/>
</xsd:simpleType>
</xsd:element>
<xsd:element name="MediaServiceAutoKeyPoints" ma:index="14" nillable="true" ma:displayName="MediaServiceAutoKeyPoints" ma:hidden="true" ma:internalName="MediaServiceAutoKeyPoints" ma:readOnly="true">
<xsd:simpleType>
<xsd:restriction base="dms:Note"/>
</xsd:simpleType>
</xsd:element>
<xsd:element name="MediaServiceKeyPoints" ma:index="15" nillable="true" ma:displayName="KeyPoints" ma:internalName="MediaServiceKeyPoints" ma:readOnly="true">
<xsd:simpleType>
<xsd:restriction base="dms:Note">
<xsd:maxLength value="255"/>
</xsd:restriction>
</xsd:simpleType>
</xsd:element>
<xsd:element name="MediaServiceDateTaken" ma:index="16" nillable="true" ma:displayName="MediaServiceDateTaken" ma:hidden="true" ma:internalName="MediaServiceDateTaken" ma:readOnly="true">
<xsd:simpleType>
<xsd:restriction base="dms:Text"/>
</xsd:simpleType>
</xsd:element>
<xsd:element name="MediaServiceLocation" ma:index="17" nillable="true" ma:displayName="Location" ma:internalName="MediaServiceLocation" ma:readOnly="true">
<xsd:simpleType>
<xsd:restriction base="dms:Text"/>
</xsd:simpleType>
</xsd:element>
<xsd:element name="MediaLengthInSeconds" ma:index="20" nillable="true" ma:displayName="Length (seconds)" ma:internalName="MediaLengthInSeconds" ma:readOnly="true">
<xsd:simpleType>
<xsd:restriction base="dms:Unknown"/>
</xsd:simpleType>
</xsd:element>
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735d00d-8c94-4b4a-90f7-ecb4731ba8da" ma:termSetId="09814cd3-568e-fe90-9814-8d621ff8fb84" ma:anchorId="fba54fb3-c3e1-fe81-a776-ca4b69148c4d" ma:open="true" ma:isKeyword="false">
<xsd:complexType>
<xsd:sequence>
<xsd:element ref="pc:Terms" minOccurs="0" maxOccurs="1"></xsd:element>
</xsd:sequence>
</xsd:complexType>
</xsd:element>
</xsd:schema>
<xsd:schema targetNamespace="658fd768-bfe3-4644-bc9b-442c8b368c29" elementFormDefault="qualified" xmlns:xsd="http://www.w3.org/2001/XMLSchema" xmlns:xs="http://www.w3.org/2001/XMLSchema" xmlns:dms="http://schemas.microsoft.com/office/2006/documentManagement/types" xmlns:pc="http://schemas.microsoft.com/office/infopath/2007/PartnerControls">
<xsd:import namespace="http://schemas.microsoft.com/office/2006/documentManagement/types"/>
<xsd:import namespace="http://schemas.microsoft.com/office/infopath/2007/PartnerControls"/>
<xsd:element name="SharedWithUsers" ma:index="18" nillable="true" ma:displayName="Shared With" ma:internalName="SharedWithUsers" ma:readOnly="true">
<xsd:complexType>
<xsd:complexContent>
<xsd:extension base="dms:UserMulti">
<xsd:sequence>
<xsd:element name="UserInfo" minOccurs="0" maxOccurs="unbounded">
<xsd:complexType>
<xsd:sequence>
<xsd:element name="DisplayName" type="xsd:string" minOccurs="0"/>
<xsd:element name="AccountId" type="dms:UserId" minOccurs="0" nillable="true"/>
<xsd:element name="AccountType" type="xsd:string" minOccurs="0"/>
</xsd:sequence>
</xsd:complexType>
</xsd:element>
</xsd:sequence>
</xsd:extension>
</xsd:complexContent>
</xsd:complexType>
</xsd:element>
<xsd:element name="SharedWithDetails" ma:index="19" nillable="true" ma:displayName="Shared With Details" ma:internalName="SharedWithDetails" ma:readOnly="true">
<xsd:simpleType>
<xsd:restriction base="dms:Note">
<xsd:maxLength value="255"/>
</xsd:restriction>
</xsd:simpleType>
</xsd:element>
<xsd:element name="TaxCatchAll" ma:index="23" nillable="true" ma:displayName="Taxonomy Catch All Column" ma:hidden="true" ma:list="{34a864ca-9d05-4b1c-b1fc-e1e9b63eb605}" ma:internalName="TaxCatchAll" ma:showField="CatchAllData" ma:web="658fd768-bfe3-4644-bc9b-442c8b368c29">
<xsd:complexType>
<xsd:complexContent>
<xsd:extension base="dms:MultiChoiceLookup">
<xsd:sequence>
<xsd:element name="Value" type="dms:Lookup" maxOccurs="unbounded" minOccurs="0" nillable="true"/>
</xsd:sequence>
</xsd:extension>
</xsd:complexContent>
</xsd:complexType>
</xsd:element>
</xsd:schema>
<xsd:schema targetNamespace="http://schemas.openxmlformats.org/package/2006/metadata/core-properties" elementFormDefault="qualified" attributeFormDefault="unqualified" blockDefault="#all"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>
<xsd:import namespace="http://purl.org/dc/elements/1.1/" schemaLocation="http://dublincore.org/schemas/xmls/qdc/2003/04/02/dc.xsd"/>
<xsd:import namespace="http://purl.org/dc/terms/" schemaLocation="http://dublincore.org/schemas/xmls/qdc/2003/04/02/dcterms.xsd"/>
<xsd:element name="coreProperties" type="CT_coreProperties"/>
<xsd:complexType name="CT_coreProperties">
<xsd:all>
<xsd:element ref="dc:creator" minOccurs="0" maxOccurs="1"/>
<xsd:element ref="dcterms:created" minOccurs="0" maxOccurs="1"/>
<xsd:element ref="dc:identifier" minOccurs="0" maxOccurs="1"/>
<xsd:element name="contentType" minOccurs="0" maxOccurs="1" type="xsd:string" ma:index="0" ma:displayName="Content Type"/>
<xsd:element ref="dc:title" minOccurs="0" maxOccurs="1" ma:index="4" ma:displayName="Title"/>
<xsd:element ref="dc:subject" minOccurs="0" maxOccurs="1"/>
<xsd:element ref="dc:description" minOccurs="0" maxOccurs="1"/>
<xsd:element name="keywords" minOccurs="0" maxOccurs="1" type="xsd:string"/>
<xsd:element ref="dc:language" minOccurs="0" maxOccurs="1"/>
<xsd:element name="category" minOccurs="0" maxOccurs="1" type="xsd:string"/>
<xsd:element name="version" minOccurs="0" maxOccurs="1" type="xsd:string"/>
<xsd:element name="revision" minOccurs="0" maxOccurs="1" type="xsd:string">
<xsd:annotation>
<xsd:documentation>
                        This value indicates the number of saves or revisions. The application is responsible for updating this value after each revision.
                    </xsd:documentation>
</xsd:annotation>
</xsd:element>
<xsd:element name="lastModifiedBy" minOccurs="0" maxOccurs="1" type="xsd:string"/>
<xsd:element ref="dcterms:modified" minOccurs="0" maxOccurs="1"/>
<xsd:element name="contentStatus" minOccurs="0" maxOccurs="1" type="xsd:string"/>
</xsd:all>
</xsd:complexType>
</xsd:schema>
<xs:schema targetNamespace="http://schemas.microsoft.com/office/infopath/2007/PartnerControls" elementFormDefault="qualified" attributeFormDefault="unqualified" xmlns:pc="http://schemas.microsoft.com/office/infopath/2007/PartnerControls" xmlns:xs="http://www.w3.org/2001/XMLSchema">
<xs:element name="Person">
<xs:complexType>
<xs:sequence>
<xs:element ref="pc:DisplayName" minOccurs="0"></xs:element>
<xs:element ref="pc:AccountId" minOccurs="0"></xs:element>
<xs:element ref="pc:AccountType" minOccurs="0"></xs:element>
</xs:sequence>
</xs:complexType>
</xs:element>
<xs:element name="DisplayName" type="xs:string"></xs:element>
<xs:element name="AccountId" type="xs:string"></xs:element>
<xs:element name="AccountType" type="xs:string"></xs:element>
<xs:element name="BDCAssociatedEntity">
<xs:complexType>
<xs:sequence>
<xs:element ref="pc:BDCEntity" minOccurs="0" maxOccurs="unbounded"></xs:element>
</xs:sequence>
<xs:attribute ref="pc:EntityNamespace"></xs:attribute>
<xs:attribute ref="pc:EntityName"></xs:attribute>
<xs:attribute ref="pc:SystemInstanceName"></xs:attribute>
<xs:attribute ref="pc:AssociationName"></xs:attribute>
</xs:complexType>
</xs:element>
<xs:attribute name="EntityNamespace" type="xs:string"></xs:attribute>
<xs:attribute name="EntityName" type="xs:string"></xs:attribute>
<xs:attribute name="SystemInstanceName" type="xs:string"></xs:attribute>
<xs:attribute name="AssociationName" type="xs:string"></xs:attribute>
<xs:element name="BDCEntity">
<xs:complexType>
<xs:sequence>
<xs:element ref="pc:EntityDisplayName" minOccurs="0"></xs:element>
<xs:element ref="pc:EntityInstanceReference" minOccurs="0"></xs:element>
<xs:element ref="pc:EntityId1" minOccurs="0"></xs:element>
<xs:element ref="pc:EntityId2" minOccurs="0"></xs:element>
<xs:element ref="pc:EntityId3" minOccurs="0"></xs:element>
<xs:element ref="pc:EntityId4" minOccurs="0"></xs:element>
<xs:element ref="pc:EntityId5" minOccurs="0"></xs:element>
</xs:sequence>
</xs:complexType>
</xs:element>
<xs:element name="EntityDisplayName" type="xs:string"></xs:element>
<xs:element name="EntityInstanceReference" type="xs:string"></xs:element>
<xs:element name="EntityId1" type="xs:string"></xs:element>
<xs:element name="EntityId2" type="xs:string"></xs:element>
<xs:element name="EntityId3" type="xs:string"></xs:element>
<xs:element name="EntityId4" type="xs:string"></xs:element>
<xs:element name="EntityId5" type="xs:string"></xs:element>
<xs:element name="Terms">
<xs:complexType>
<xs:sequence>
<xs:element ref="pc:TermInfo" minOccurs="0" maxOccurs="unbounded"></xs:element>
</xs:sequence>
</xs:complexType>
</xs:element>
<xs:element name="TermInfo">
<xs:complexType>
<xs:sequence>
<xs:element ref="pc:TermName" minOccurs="0"></xs:element>
<xs:element ref="pc:TermId" minOccurs="0"></xs:element>
</xs:sequence>
</xs:complexType>
</xs:element>
<xs:element name="TermName" type="xs:string"></xs:element>
<xs:element name="TermId" type="xs:string"></xs:element>
</xs:schema>
</ct:contentTypeSchema>
</file>

<file path=customXml/itemProps1.xml><?xml version="1.0" encoding="utf-8"?>
<ds:datastoreItem xmlns:ds="http://schemas.openxmlformats.org/officeDocument/2006/customXml" ds:itemID="{59F32A74-E793-406C-A61D-F2F372DC76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93157E-55EF-47C0-BE01-4943EDF03873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658fd768-bfe3-4644-bc9b-442c8b368c29"/>
    <ds:schemaRef ds:uri="0b72f104-5449-47f2-bba6-d965ba4cb369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3CA7DB7-D73B-40A8-96F1-78F6D3B4F1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72f104-5449-47f2-bba6-d965ba4cb369"/>
    <ds:schemaRef ds:uri="658fd768-bfe3-4644-bc9b-442c8b368c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System Info</vt:lpstr>
      <vt:lpstr>Power Summary</vt:lpstr>
      <vt:lpstr>Main Enclosure</vt:lpstr>
      <vt:lpstr>Expansion Board</vt:lpstr>
      <vt:lpstr>Wire Data</vt:lpstr>
    </vt:vector>
  </TitlesOfParts>
  <Company>HomeLogic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awatzke</dc:creator>
  <cp:lastModifiedBy>James Herman</cp:lastModifiedBy>
  <cp:lastPrinted>2023-01-13T21:57:51Z</cp:lastPrinted>
  <dcterms:created xsi:type="dcterms:W3CDTF">2002-05-06T19:48:44Z</dcterms:created>
  <dcterms:modified xsi:type="dcterms:W3CDTF">2023-04-27T13:44:06Z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0x01010029828EA36F71F84A80951E2499941C0F</vt:lpwstr>
  </property>
  <property fmtid="{D5CDD505-2E9C-101B-9397-08002B2CF9AE}" pid="3" name="MediaServiceImageTags">
    <vt:lpwstr/>
  </property>
  <property fmtid="{D5CDD505-2E9C-101B-9397-08002B2CF9AE}" pid="4" name="WorkbookGuid">
    <vt:lpwstr>36f6d755-ee9a-4561-ac50-0f0aad3b13c2</vt:lpwstr>
  </property>
</Properties>
</file>